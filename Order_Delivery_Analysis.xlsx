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 Dhanwani\Desktop\"/>
    </mc:Choice>
  </mc:AlternateContent>
  <xr:revisionPtr revIDLastSave="0" documentId="8_{9FD57298-F0B7-49B5-A328-CABD19D3C397}" xr6:coauthVersionLast="47" xr6:coauthVersionMax="47" xr10:uidLastSave="{00000000-0000-0000-0000-000000000000}"/>
  <bookViews>
    <workbookView xWindow="-110" yWindow="-110" windowWidth="19420" windowHeight="10300" firstSheet="3" activeTab="6" xr2:uid="{0A0B158E-11FA-4B93-9780-2D4D662155EC}"/>
  </bookViews>
  <sheets>
    <sheet name="Pivot_Order_Status" sheetId="2" r:id="rId1"/>
    <sheet name="Pivot_Revenue_Region" sheetId="3" r:id="rId2"/>
    <sheet name="Pivot_Delay_Region" sheetId="4" r:id="rId3"/>
    <sheet name="Pivot_Monthly_Revenue" sheetId="6" r:id="rId4"/>
    <sheet name="Pivot_Revenue_CustomerType" sheetId="7" r:id="rId5"/>
    <sheet name="Pivot_Top_SKUs" sheetId="8" r:id="rId6"/>
    <sheet name="Orders_Data" sheetId="1" r:id="rId7"/>
  </sheets>
  <calcPr calcId="191029"/>
  <pivotCaches>
    <pivotCache cacheId="6" r:id="rId8"/>
    <pivotCache cacheId="1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  <c r="M35" i="1"/>
  <c r="M36" i="1"/>
  <c r="M37" i="1"/>
  <c r="M38" i="1"/>
  <c r="M39" i="1"/>
  <c r="M40" i="1"/>
  <c r="M41" i="1"/>
  <c r="M24" i="1"/>
  <c r="M25" i="1"/>
  <c r="M26" i="1"/>
  <c r="M27" i="1"/>
  <c r="M28" i="1"/>
  <c r="M29" i="1"/>
  <c r="M30" i="1"/>
  <c r="M31" i="1"/>
  <c r="M32" i="1"/>
  <c r="M33" i="1"/>
  <c r="M34" i="1"/>
  <c r="M13" i="1"/>
  <c r="M14" i="1"/>
  <c r="M15" i="1"/>
  <c r="M16" i="1"/>
  <c r="M17" i="1"/>
  <c r="M18" i="1"/>
  <c r="M19" i="1"/>
  <c r="M20" i="1"/>
  <c r="M21" i="1"/>
  <c r="M22" i="1"/>
  <c r="M23" i="1"/>
  <c r="M3" i="1"/>
  <c r="M4" i="1"/>
  <c r="M5" i="1"/>
  <c r="M6" i="1"/>
  <c r="M7" i="1"/>
  <c r="M8" i="1"/>
  <c r="M9" i="1"/>
  <c r="M10" i="1"/>
  <c r="M11" i="1"/>
  <c r="M12" i="1"/>
  <c r="M2" i="1"/>
  <c r="L34" i="1"/>
  <c r="L35" i="1"/>
  <c r="L36" i="1"/>
  <c r="L37" i="1"/>
  <c r="L38" i="1"/>
  <c r="L39" i="1"/>
  <c r="L40" i="1"/>
  <c r="L41" i="1"/>
  <c r="L23" i="1"/>
  <c r="L24" i="1"/>
  <c r="L25" i="1"/>
  <c r="L26" i="1"/>
  <c r="L27" i="1"/>
  <c r="L28" i="1"/>
  <c r="L29" i="1"/>
  <c r="L30" i="1"/>
  <c r="L31" i="1"/>
  <c r="L32" i="1"/>
  <c r="L33" i="1"/>
  <c r="L12" i="1"/>
  <c r="L13" i="1"/>
  <c r="L14" i="1"/>
  <c r="L15" i="1"/>
  <c r="L16" i="1"/>
  <c r="L17" i="1"/>
  <c r="L18" i="1"/>
  <c r="L19" i="1"/>
  <c r="L20" i="1"/>
  <c r="L21" i="1"/>
  <c r="L22" i="1"/>
  <c r="L6" i="1"/>
  <c r="L7" i="1"/>
  <c r="L9" i="1"/>
  <c r="L10" i="1"/>
  <c r="L11" i="1"/>
  <c r="L3" i="1"/>
  <c r="L4" i="1"/>
  <c r="L5" i="1"/>
  <c r="L2" i="1"/>
</calcChain>
</file>

<file path=xl/sharedStrings.xml><?xml version="1.0" encoding="utf-8"?>
<sst xmlns="http://schemas.openxmlformats.org/spreadsheetml/2006/main" count="230" uniqueCount="50">
  <si>
    <t>order_id</t>
  </si>
  <si>
    <t>sku</t>
  </si>
  <si>
    <t>order_date</t>
  </si>
  <si>
    <t>delivery_date</t>
  </si>
  <si>
    <t>lead_time</t>
  </si>
  <si>
    <t>shipping_time</t>
  </si>
  <si>
    <t>order_status</t>
  </si>
  <si>
    <t>region</t>
  </si>
  <si>
    <t>customer_type</t>
  </si>
  <si>
    <t>quantity</t>
  </si>
  <si>
    <t>revenue</t>
  </si>
  <si>
    <t>SKU101</t>
  </si>
  <si>
    <t>Delivered</t>
  </si>
  <si>
    <t>North</t>
  </si>
  <si>
    <t>Retail</t>
  </si>
  <si>
    <t>SKU102</t>
  </si>
  <si>
    <t>South</t>
  </si>
  <si>
    <t>Wholesale</t>
  </si>
  <si>
    <t>SKU103</t>
  </si>
  <si>
    <t>Delayed</t>
  </si>
  <si>
    <t>East</t>
  </si>
  <si>
    <t>SKU104</t>
  </si>
  <si>
    <t>West</t>
  </si>
  <si>
    <t>Online</t>
  </si>
  <si>
    <t>SKU105</t>
  </si>
  <si>
    <t>SKU106</t>
  </si>
  <si>
    <t>SKU107</t>
  </si>
  <si>
    <t>SKU108</t>
  </si>
  <si>
    <t>SKU109</t>
  </si>
  <si>
    <t>SKU110</t>
  </si>
  <si>
    <t>Date_Check</t>
  </si>
  <si>
    <t>Delay_Flag</t>
  </si>
  <si>
    <t>Row Labels</t>
  </si>
  <si>
    <t>On-Time</t>
  </si>
  <si>
    <t>Grand Total</t>
  </si>
  <si>
    <t>Sum of order_id</t>
  </si>
  <si>
    <t>Count of order_id</t>
  </si>
  <si>
    <t>Sum of revenue</t>
  </si>
  <si>
    <t>Order Status Distribution</t>
  </si>
  <si>
    <t>Count of Delayed vs On-Time Orders</t>
  </si>
  <si>
    <t>Sum of Revenue by Region</t>
  </si>
  <si>
    <t>Column Labels</t>
  </si>
  <si>
    <t>Count of Delayed vs On-Time by Region</t>
  </si>
  <si>
    <t>Delay Analysis by Region</t>
  </si>
  <si>
    <t>Month</t>
  </si>
  <si>
    <t>Feb-2024</t>
  </si>
  <si>
    <t>Jan-2024</t>
  </si>
  <si>
    <t>Monthly Revenue Trend</t>
  </si>
  <si>
    <t>Revenue by Customer Type</t>
  </si>
  <si>
    <t>Top Selling 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</si>
</sst>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\-mm\-dd;@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[Order_Delivery_Analysis.xlsx]Pivot_Order_Status!PivotTable1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Pivot_Order_Status!$B$3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Pivot_Order_Status!$A$4:$A$6</c:f>
              <c:strCache>
                <c:ptCount val="2"/>
                <c:pt idx="0">
                  <c:v>Delayed</c:v>
                </c:pt>
                <c:pt idx="1">
                  <c:v>On-Time</c:v>
                </c:pt>
              </c:strCache>
            </c:strRef>
          </c:cat>
          <c:val>
            <c:numRef>
              <c:f>Pivot_Order_Status!$B$4:$B$6</c:f>
              <c:numCache>
                <c:formatCode>General</c:formatCode>
                <c:ptCount val="2"/>
                <c:pt idx="0">
                  <c:v>18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B-454E-B390-4F84C5AF8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[Order_Delivery_Analysis.xlsx]Pivot_Revenue_Region!PivotTable2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Pivot_Revenue_Region!$B$3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Pivot_Revenue_Region!$A$4:$A$8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Pivot_Revenue_Region!$B$4:$B$8</c:f>
              <c:numCache>
                <c:formatCode>General</c:formatCode>
                <c:ptCount val="4"/>
                <c:pt idx="0">
                  <c:v>38900</c:v>
                </c:pt>
                <c:pt idx="1">
                  <c:v>52400</c:v>
                </c:pt>
                <c:pt idx="2">
                  <c:v>52800</c:v>
                </c:pt>
                <c:pt idx="3">
                  <c:v>49900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0-48D0-8AE0-E1A0B1B2C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830832"/>
        <c:axId val="332830352"/>
      </c:barChart>
      <c:catAx>
        <c:axId val="33283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830352"/>
        <c:crosses val="autoZero"/>
        <c:auto val="1"/>
        <c:lblAlgn val="ctr"/>
        <c:lblOffset val="100"/>
        <c:noMultiLvlLbl val="0"/>
      </c:catAx>
      <c:valAx>
        <c:axId val="33283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83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[Order_Delivery_Analysis.xlsx]Pivot_Delay_Region!PivotTable3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275501377729809E-2"/>
          <c:y val="0.16101633129192183"/>
          <c:w val="0.74711407959622256"/>
          <c:h val="0.65853091280256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Pivot_Delay_Region!$B$3:$B$4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Pivot_Delay_Region!$A$5:$A$9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Pivot_Delay_Region!$B$5:$B$9</c:f>
              <c:numCache>
                <c:formatCode>General</c:formatCode>
                <c:ptCount val="4"/>
                <c:pt idx="0">
                  <c:v>7145</c:v>
                </c:pt>
                <c:pt idx="1">
                  <c:v>6134</c:v>
                </c:pt>
                <c:pt idx="2">
                  <c:v>3034</c:v>
                </c:pt>
                <c:pt idx="3">
                  <c:v>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C-4F09-A0C7-7B6FE1F59F91}"/>
            </c:ext>
          </c:extLst>
        </c:ser>
        <c:ser>
          <c:idx val="1"/>
          <c:order val="1"/>
          <c:tx>
            <c:strRef>
              <c:f>Pivot_Delay_Region!$C$3:$C$4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Pivot_Delay_Region!$A$5:$A$9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Pivot_Delay_Region!$C$5:$C$9</c:f>
              <c:numCache>
                <c:formatCode>General</c:formatCode>
                <c:ptCount val="4"/>
                <c:pt idx="0">
                  <c:v>3065</c:v>
                </c:pt>
                <c:pt idx="1">
                  <c:v>4056</c:v>
                </c:pt>
                <c:pt idx="2">
                  <c:v>7166</c:v>
                </c:pt>
                <c:pt idx="3">
                  <c:v>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C-4F09-A0C7-7B6FE1F59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3047712"/>
        <c:axId val="333048192"/>
      </c:barChart>
      <c:catAx>
        <c:axId val="3330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48192"/>
        <c:crosses val="autoZero"/>
        <c:auto val="1"/>
        <c:lblAlgn val="ctr"/>
        <c:lblOffset val="100"/>
        <c:noMultiLvlLbl val="0"/>
      </c:catAx>
      <c:valAx>
        <c:axId val="33304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[Order_Delivery_Analysis.xlsx]Pivot_Monthly_Revenue!PivotTable4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Pivot_Monthly_Revenue!$A$4:$A$6</c:f>
              <c:strCache>
                <c:ptCount val="2"/>
                <c:pt idx="0">
                  <c:v>Feb-2024</c:v>
                </c:pt>
                <c:pt idx="1">
                  <c:v>Jan-2024</c:v>
                </c:pt>
              </c:strCache>
            </c:strRef>
          </c:cat>
          <c:val>
            <c:numRef>
              <c:f>Pivot_Monthly_Revenue!$B$4:$B$6</c:f>
              <c:numCache>
                <c:formatCode>General</c:formatCode>
                <c:ptCount val="2"/>
                <c:pt idx="0">
                  <c:v>54000</c:v>
                </c:pt>
                <c:pt idx="1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4-4F8F-8DCD-D737866DB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244416"/>
        <c:axId val="2026230016"/>
      </c:lineChart>
      <c:catAx>
        <c:axId val="202624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30016"/>
        <c:crosses val="autoZero"/>
        <c:auto val="1"/>
        <c:lblAlgn val="ctr"/>
        <c:lblOffset val="100"/>
        <c:noMultiLvlLbl val="0"/>
      </c:catAx>
      <c:valAx>
        <c:axId val="20262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[Order_Delivery_Analysis.xlsx]Pivot_Revenue_CustomerType!PivotTable5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Pivot_Revenue_CustomerType!$B$3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Pivot_Revenue_CustomerType!$A$4:$A$7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Pivot_Revenue_CustomerType!$B$4:$B$7</c:f>
              <c:numCache>
                <c:formatCode>General</c:formatCode>
                <c:ptCount val="3"/>
                <c:pt idx="0">
                  <c:v>31400</c:v>
                </c:pt>
                <c:pt idx="1">
                  <c:v>52600</c:v>
                </c:pt>
                <c:pt idx="2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F-4197-99FF-07DB25F40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250656"/>
        <c:axId val="2026231936"/>
      </c:barChart>
      <c:catAx>
        <c:axId val="202625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31936"/>
        <c:crosses val="autoZero"/>
        <c:auto val="1"/>
        <c:lblAlgn val="ctr"/>
        <c:lblOffset val="100"/>
        <c:noMultiLvlLbl val="0"/>
      </c:catAx>
      <c:valAx>
        <c:axId val="2026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5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[Order_Delivery_Analysis.xlsx]Pivot_Top_SKUs!PivotTable6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Pivot_Top_SKUs!$B$3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Pivot_Top_SKUs!$A$4:$A$14</c:f>
              <c:strCache>
                <c:ptCount val="10"/>
                <c:pt idx="0">
                  <c:v>SKU108</c:v>
                </c:pt>
                <c:pt idx="1">
                  <c:v>SKU105</c:v>
                </c:pt>
                <c:pt idx="2">
                  <c:v>SKU102</c:v>
                </c:pt>
                <c:pt idx="3">
                  <c:v>SKU103</c:v>
                </c:pt>
                <c:pt idx="4">
                  <c:v>SKU107</c:v>
                </c:pt>
                <c:pt idx="5">
                  <c:v>SKU109</c:v>
                </c:pt>
                <c:pt idx="6">
                  <c:v>SKU110</c:v>
                </c:pt>
                <c:pt idx="7">
                  <c:v>SKU106</c:v>
                </c:pt>
                <c:pt idx="8">
                  <c:v>SKU104</c:v>
                </c:pt>
                <c:pt idx="9">
                  <c:v>SKU101</c:v>
                </c:pt>
              </c:strCache>
            </c:strRef>
          </c:cat>
          <c:val>
            <c:numRef>
              <c:f>Pivot_Top_SKUs!$B$4:$B$14</c:f>
              <c:numCache>
                <c:formatCode>General</c:formatCode>
                <c:ptCount val="10"/>
                <c:pt idx="0">
                  <c:v>45600</c:v>
                </c:pt>
                <c:pt idx="1">
                  <c:v>30400</c:v>
                </c:pt>
                <c:pt idx="2">
                  <c:v>28900</c:v>
                </c:pt>
                <c:pt idx="3">
                  <c:v>21400</c:v>
                </c:pt>
                <c:pt idx="4">
                  <c:v>17500</c:v>
                </c:pt>
                <c:pt idx="5">
                  <c:v>16000</c:v>
                </c:pt>
                <c:pt idx="6">
                  <c:v>10300</c:v>
                </c:pt>
                <c:pt idx="7">
                  <c:v>9800</c:v>
                </c:pt>
                <c:pt idx="8">
                  <c:v>8100</c:v>
                </c:pt>
                <c:pt idx="9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E-4E42-AE4F-1443D2D50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238816"/>
        <c:axId val="345239296"/>
      </c:barChart>
      <c:catAx>
        <c:axId val="34523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39296"/>
        <c:crosses val="autoZero"/>
        <c:auto val="1"/>
        <c:lblAlgn val="ctr"/>
        <c:lblOffset val="100"/>
        <c:noMultiLvlLbl val="0"/>
      </c:catAx>
      <c:valAx>
        <c:axId val="3452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3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2</xdr:row>
      <xdr:rowOff>0</xdr:rowOff>
    </xdr:from>
    <xdr:to>
      <xdr:col>7</xdr:col>
      <xdr:colOff>304800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12688-E357-3147-7457-2F2A080A6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2</xdr:row>
      <xdr:rowOff>114300</xdr:rowOff>
    </xdr:from>
    <xdr:to>
      <xdr:col>8</xdr:col>
      <xdr:colOff>190500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02340-D59A-61DE-3AB6-6D046E7C4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3</xdr:row>
      <xdr:rowOff>69850</xdr:rowOff>
    </xdr:from>
    <xdr:to>
      <xdr:col>11</xdr:col>
      <xdr:colOff>469900</xdr:colOff>
      <xdr:row>18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C69B0B-BB44-ACB3-7A7E-016EC795D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4</xdr:row>
      <xdr:rowOff>6350</xdr:rowOff>
    </xdr:from>
    <xdr:to>
      <xdr:col>9</xdr:col>
      <xdr:colOff>419100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E2FA6-3A36-FCAA-8831-EC9E4C726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5</xdr:row>
      <xdr:rowOff>0</xdr:rowOff>
    </xdr:from>
    <xdr:to>
      <xdr:col>9</xdr:col>
      <xdr:colOff>393700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EF3FA-71FF-7462-D831-85EBBD927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</xdr:row>
      <xdr:rowOff>177800</xdr:rowOff>
    </xdr:from>
    <xdr:to>
      <xdr:col>9</xdr:col>
      <xdr:colOff>533400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81E87-461C-BCE9-1163-E3EE9CD5B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k Dhanwani" refreshedDate="46039.838197800927" createdVersion="8" refreshedVersion="8" minRefreshableVersion="3" recordCount="40" xr:uid="{FE7DC331-B0EE-4703-9223-A597DC736171}">
  <cacheSource type="worksheet">
    <worksheetSource ref="A1:M41" sheet="Orders_Data"/>
  </cacheSource>
  <cacheFields count="13">
    <cacheField name="order_id" numFmtId="0">
      <sharedItems containsSemiMixedTypes="0" containsString="0" containsNumber="1" containsInteger="1" minValue="1001" maxValue="1040"/>
    </cacheField>
    <cacheField name="sku" numFmtId="0">
      <sharedItems/>
    </cacheField>
    <cacheField name="order_date" numFmtId="165">
      <sharedItems containsSemiMixedTypes="0" containsNonDate="0" containsDate="1" containsString="0" minDate="2024-01-01T00:00:00" maxDate="2024-02-11T00:00:00"/>
    </cacheField>
    <cacheField name="delivery_date" numFmtId="165">
      <sharedItems containsSemiMixedTypes="0" containsNonDate="0" containsDate="1" containsString="0" minDate="2024-01-05T00:00:00" maxDate="2024-02-17T00:00:00"/>
    </cacheField>
    <cacheField name="lead_time" numFmtId="0">
      <sharedItems containsSemiMixedTypes="0" containsString="0" containsNumber="1" containsInteger="1" minValue="2" maxValue="8"/>
    </cacheField>
    <cacheField name="shipping_time" numFmtId="0">
      <sharedItems containsSemiMixedTypes="0" containsString="0" containsNumber="1" containsInteger="1" minValue="1" maxValue="6"/>
    </cacheField>
    <cacheField name="order_status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customer_type" numFmtId="0">
      <sharedItems/>
    </cacheField>
    <cacheField name="quantity" numFmtId="0">
      <sharedItems containsSemiMixedTypes="0" containsString="0" containsNumber="1" containsInteger="1" minValue="1" maxValue="16"/>
    </cacheField>
    <cacheField name="revenue" numFmtId="0">
      <sharedItems containsSemiMixedTypes="0" containsString="0" containsNumber="1" containsInteger="1" minValue="500" maxValue="12800"/>
    </cacheField>
    <cacheField name="Date_Check" numFmtId="0">
      <sharedItems/>
    </cacheField>
    <cacheField name="Delay_Flag" numFmtId="0">
      <sharedItems count="2">
        <s v="On-Time"/>
        <s v="Dela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k Dhanwani" refreshedDate="46039.848276504628" createdVersion="8" refreshedVersion="8" minRefreshableVersion="3" recordCount="40" xr:uid="{D49A8593-F11F-4A47-A45C-91C1605F588D}">
  <cacheSource type="worksheet">
    <worksheetSource ref="A1:N41" sheet="Orders_Data"/>
  </cacheSource>
  <cacheFields count="16">
    <cacheField name="order_id" numFmtId="0">
      <sharedItems containsSemiMixedTypes="0" containsString="0" containsNumber="1" containsInteger="1" minValue="1001" maxValue="1040"/>
    </cacheField>
    <cacheField name="sku" numFmtId="0">
      <sharedItems count="10">
        <s v="SKU101"/>
        <s v="SKU102"/>
        <s v="SKU103"/>
        <s v="SKU104"/>
        <s v="SKU105"/>
        <s v="SKU106"/>
        <s v="SKU107"/>
        <s v="SKU108"/>
        <s v="SKU109"/>
        <s v="SKU110"/>
      </sharedItems>
    </cacheField>
    <cacheField name="order_date" numFmtId="165">
      <sharedItems containsSemiMixedTypes="0" containsNonDate="0" containsDate="1" containsString="0" minDate="2024-01-01T00:00:00" maxDate="2024-02-11T00:00:00" count="4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</sharedItems>
      <fieldGroup par="15"/>
    </cacheField>
    <cacheField name="delivery_date" numFmtId="165">
      <sharedItems containsSemiMixedTypes="0" containsNonDate="0" containsDate="1" containsString="0" minDate="2024-01-05T00:00:00" maxDate="2024-02-17T00:00:00"/>
    </cacheField>
    <cacheField name="lead_time" numFmtId="0">
      <sharedItems containsSemiMixedTypes="0" containsString="0" containsNumber="1" containsInteger="1" minValue="2" maxValue="8"/>
    </cacheField>
    <cacheField name="shipping_time" numFmtId="0">
      <sharedItems containsSemiMixedTypes="0" containsString="0" containsNumber="1" containsInteger="1" minValue="1" maxValue="6"/>
    </cacheField>
    <cacheField name="order_status" numFmtId="0">
      <sharedItems/>
    </cacheField>
    <cacheField name="region" numFmtId="0">
      <sharedItems/>
    </cacheField>
    <cacheField name="customer_type" numFmtId="0">
      <sharedItems count="3">
        <s v="Retail"/>
        <s v="Wholesale"/>
        <s v="Online"/>
      </sharedItems>
    </cacheField>
    <cacheField name="quantity" numFmtId="0">
      <sharedItems containsSemiMixedTypes="0" containsString="0" containsNumber="1" containsInteger="1" minValue="1" maxValue="16"/>
    </cacheField>
    <cacheField name="revenue" numFmtId="0">
      <sharedItems containsSemiMixedTypes="0" containsString="0" containsNumber="1" containsInteger="1" minValue="500" maxValue="12800"/>
    </cacheField>
    <cacheField name="Date_Check" numFmtId="0">
      <sharedItems/>
    </cacheField>
    <cacheField name="Delay_Flag" numFmtId="0">
      <sharedItems/>
    </cacheField>
    <cacheField name="Month" numFmtId="0">
      <sharedItems count="2">
        <s v="Jan-2024"/>
        <s v="Feb-2024"/>
      </sharedItems>
    </cacheField>
    <cacheField name="Days (order_date)" numFmtId="0" databaseField="0">
      <fieldGroup base="2">
        <rangePr groupBy="days" startDate="2024-01-01T00:00:00" endDate="2024-02-11T00:00:00"/>
        <groupItems count="368">
          <s v="&lt;01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02/2024"/>
        </groupItems>
      </fieldGroup>
    </cacheField>
    <cacheField name="Months (order_date)" numFmtId="0" databaseField="0">
      <fieldGroup base="2">
        <rangePr groupBy="months" startDate="2024-01-01T00:00:00" endDate="2024-02-11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0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s v="SKU101"/>
    <d v="2024-01-01T00:00:00"/>
    <d v="2024-01-05T00:00:00"/>
    <n v="4"/>
    <n v="2"/>
    <s v="Delivered"/>
    <x v="0"/>
    <s v="Retail"/>
    <n v="5"/>
    <n v="2500"/>
    <s v="OK"/>
    <x v="0"/>
  </r>
  <r>
    <n v="1002"/>
    <s v="SKU102"/>
    <d v="2024-01-02T00:00:00"/>
    <d v="2024-01-08T00:00:00"/>
    <n v="6"/>
    <n v="3"/>
    <s v="Delivered"/>
    <x v="1"/>
    <s v="Wholesale"/>
    <n v="10"/>
    <n v="7200"/>
    <s v="OK"/>
    <x v="1"/>
  </r>
  <r>
    <n v="1003"/>
    <s v="SKU103"/>
    <d v="2024-01-03T00:00:00"/>
    <d v="2024-01-10T00:00:00"/>
    <n v="7"/>
    <n v="4"/>
    <s v="Delayed"/>
    <x v="2"/>
    <s v="Retail"/>
    <n v="3"/>
    <n v="1800"/>
    <s v="OK"/>
    <x v="1"/>
  </r>
  <r>
    <n v="1004"/>
    <s v="SKU104"/>
    <d v="2024-01-04T00:00:00"/>
    <d v="2024-01-06T00:00:00"/>
    <n v="2"/>
    <n v="1"/>
    <s v="Delivered"/>
    <x v="3"/>
    <s v="Online"/>
    <n v="1"/>
    <n v="900"/>
    <s v="OK"/>
    <x v="0"/>
  </r>
  <r>
    <n v="1005"/>
    <s v="SKU105"/>
    <d v="2024-01-05T00:00:00"/>
    <d v="2024-01-12T00:00:00"/>
    <n v="7"/>
    <n v="4"/>
    <s v="Delayed"/>
    <x v="0"/>
    <s v="Wholesale"/>
    <n v="8"/>
    <n v="6400"/>
    <s v="OK"/>
    <x v="1"/>
  </r>
  <r>
    <n v="1006"/>
    <s v="SKU106"/>
    <d v="2024-01-06T00:00:00"/>
    <d v="2024-01-09T00:00:00"/>
    <n v="3"/>
    <n v="2"/>
    <s v="Delivered"/>
    <x v="1"/>
    <s v="Online"/>
    <n v="2"/>
    <n v="1400"/>
    <s v="OK"/>
    <x v="0"/>
  </r>
  <r>
    <n v="1007"/>
    <s v="SKU107"/>
    <d v="2024-01-07T00:00:00"/>
    <d v="2024-01-15T00:00:00"/>
    <n v="8"/>
    <n v="5"/>
    <s v="Delayed"/>
    <x v="2"/>
    <s v="Retail"/>
    <n v="6"/>
    <n v="4200"/>
    <s v="OK"/>
    <x v="1"/>
  </r>
  <r>
    <n v="1008"/>
    <s v="SKU108"/>
    <d v="2024-01-08T00:00:00"/>
    <d v="2024-01-11T00:00:00"/>
    <n v="3"/>
    <n v="2"/>
    <s v="Delivered"/>
    <x v="3"/>
    <s v="Wholesale"/>
    <n v="12"/>
    <n v="9600"/>
    <s v="OK"/>
    <x v="0"/>
  </r>
  <r>
    <n v="1009"/>
    <s v="SKU109"/>
    <d v="2024-01-09T00:00:00"/>
    <d v="2024-01-14T00:00:00"/>
    <n v="5"/>
    <n v="3"/>
    <s v="Delivered"/>
    <x v="0"/>
    <s v="Online"/>
    <n v="4"/>
    <n v="3200"/>
    <s v="OK"/>
    <x v="0"/>
  </r>
  <r>
    <n v="1010"/>
    <s v="SKU110"/>
    <d v="2024-01-10T00:00:00"/>
    <d v="2024-01-18T00:00:00"/>
    <n v="8"/>
    <n v="5"/>
    <s v="Delayed"/>
    <x v="1"/>
    <s v="Retail"/>
    <n v="7"/>
    <n v="4900"/>
    <s v="OK"/>
    <x v="1"/>
  </r>
  <r>
    <n v="1011"/>
    <s v="SKU101"/>
    <d v="2024-01-11T00:00:00"/>
    <d v="2024-01-14T00:00:00"/>
    <n v="3"/>
    <n v="1"/>
    <s v="Delivered"/>
    <x v="2"/>
    <s v="Online"/>
    <n v="1"/>
    <n v="500"/>
    <s v="OK"/>
    <x v="0"/>
  </r>
  <r>
    <n v="1012"/>
    <s v="SKU102"/>
    <d v="2024-01-12T00:00:00"/>
    <d v="2024-01-20T00:00:00"/>
    <n v="8"/>
    <n v="5"/>
    <s v="Delayed"/>
    <x v="3"/>
    <s v="Retail"/>
    <n v="9"/>
    <n v="6300"/>
    <s v="OK"/>
    <x v="1"/>
  </r>
  <r>
    <n v="1013"/>
    <s v="SKU103"/>
    <d v="2024-01-13T00:00:00"/>
    <d v="2024-01-17T00:00:00"/>
    <n v="4"/>
    <n v="2"/>
    <s v="Delivered"/>
    <x v="0"/>
    <s v="Wholesale"/>
    <n v="11"/>
    <n v="8800"/>
    <s v="OK"/>
    <x v="0"/>
  </r>
  <r>
    <n v="1014"/>
    <s v="SKU104"/>
    <d v="2024-01-14T00:00:00"/>
    <d v="2024-01-16T00:00:00"/>
    <n v="2"/>
    <n v="1"/>
    <s v="Delivered"/>
    <x v="1"/>
    <s v="Online"/>
    <n v="2"/>
    <n v="1800"/>
    <s v="OK"/>
    <x v="0"/>
  </r>
  <r>
    <n v="1015"/>
    <s v="SKU105"/>
    <d v="2024-01-15T00:00:00"/>
    <d v="2024-01-23T00:00:00"/>
    <n v="8"/>
    <n v="5"/>
    <s v="Delayed"/>
    <x v="2"/>
    <s v="Wholesale"/>
    <n v="10"/>
    <n v="8000"/>
    <s v="OK"/>
    <x v="1"/>
  </r>
  <r>
    <n v="1016"/>
    <s v="SKU106"/>
    <d v="2024-01-16T00:00:00"/>
    <d v="2024-01-19T00:00:00"/>
    <n v="3"/>
    <n v="2"/>
    <s v="Delivered"/>
    <x v="3"/>
    <s v="Retail"/>
    <n v="4"/>
    <n v="2800"/>
    <s v="OK"/>
    <x v="0"/>
  </r>
  <r>
    <n v="1017"/>
    <s v="SKU107"/>
    <d v="2024-01-17T00:00:00"/>
    <d v="2024-01-25T00:00:00"/>
    <n v="8"/>
    <n v="6"/>
    <s v="Delayed"/>
    <x v="0"/>
    <s v="Online"/>
    <n v="6"/>
    <n v="4200"/>
    <s v="OK"/>
    <x v="1"/>
  </r>
  <r>
    <n v="1018"/>
    <s v="SKU108"/>
    <d v="2024-01-18T00:00:00"/>
    <d v="2024-01-21T00:00:00"/>
    <n v="3"/>
    <n v="2"/>
    <s v="Delivered"/>
    <x v="1"/>
    <s v="Wholesale"/>
    <n v="14"/>
    <n v="11200"/>
    <s v="OK"/>
    <x v="0"/>
  </r>
  <r>
    <n v="1019"/>
    <s v="SKU109"/>
    <d v="2024-01-19T00:00:00"/>
    <d v="2024-01-26T00:00:00"/>
    <n v="7"/>
    <n v="4"/>
    <s v="Delayed"/>
    <x v="2"/>
    <s v="Retail"/>
    <n v="5"/>
    <n v="4000"/>
    <s v="OK"/>
    <x v="1"/>
  </r>
  <r>
    <n v="1020"/>
    <s v="SKU110"/>
    <d v="2024-01-20T00:00:00"/>
    <d v="2024-01-23T00:00:00"/>
    <n v="3"/>
    <n v="2"/>
    <s v="Delivered"/>
    <x v="3"/>
    <s v="Online"/>
    <n v="2"/>
    <n v="1600"/>
    <s v="OK"/>
    <x v="0"/>
  </r>
  <r>
    <n v="1021"/>
    <s v="SKU101"/>
    <d v="2024-01-21T00:00:00"/>
    <d v="2024-01-27T00:00:00"/>
    <n v="6"/>
    <n v="3"/>
    <s v="Delivered"/>
    <x v="0"/>
    <s v="Retail"/>
    <n v="3"/>
    <n v="1500"/>
    <s v="OK"/>
    <x v="1"/>
  </r>
  <r>
    <n v="1022"/>
    <s v="SKU102"/>
    <d v="2024-01-22T00:00:00"/>
    <d v="2024-01-30T00:00:00"/>
    <n v="8"/>
    <n v="5"/>
    <s v="Delayed"/>
    <x v="1"/>
    <s v="Wholesale"/>
    <n v="12"/>
    <n v="8400"/>
    <s v="OK"/>
    <x v="1"/>
  </r>
  <r>
    <n v="1023"/>
    <s v="SKU103"/>
    <d v="2024-01-23T00:00:00"/>
    <d v="2024-01-26T00:00:00"/>
    <n v="3"/>
    <n v="2"/>
    <s v="Delivered"/>
    <x v="2"/>
    <s v="Online"/>
    <n v="2"/>
    <n v="1200"/>
    <s v="OK"/>
    <x v="0"/>
  </r>
  <r>
    <n v="1024"/>
    <s v="SKU104"/>
    <d v="2024-01-24T00:00:00"/>
    <d v="2024-01-29T00:00:00"/>
    <n v="5"/>
    <n v="3"/>
    <s v="Delivered"/>
    <x v="3"/>
    <s v="Retail"/>
    <n v="5"/>
    <n v="4500"/>
    <s v="OK"/>
    <x v="0"/>
  </r>
  <r>
    <n v="1025"/>
    <s v="SKU105"/>
    <d v="2024-01-25T00:00:00"/>
    <d v="2024-02-02T00:00:00"/>
    <n v="8"/>
    <n v="5"/>
    <s v="Delayed"/>
    <x v="0"/>
    <s v="Wholesale"/>
    <n v="9"/>
    <n v="7200"/>
    <s v="OK"/>
    <x v="1"/>
  </r>
  <r>
    <n v="1026"/>
    <s v="SKU106"/>
    <d v="2024-01-26T00:00:00"/>
    <d v="2024-01-31T00:00:00"/>
    <n v="5"/>
    <n v="3"/>
    <s v="Delivered"/>
    <x v="1"/>
    <s v="Online"/>
    <n v="4"/>
    <n v="2800"/>
    <s v="OK"/>
    <x v="0"/>
  </r>
  <r>
    <n v="1027"/>
    <s v="SKU107"/>
    <d v="2024-01-27T00:00:00"/>
    <d v="2024-02-04T00:00:00"/>
    <n v="8"/>
    <n v="5"/>
    <s v="Delayed"/>
    <x v="2"/>
    <s v="Retail"/>
    <n v="7"/>
    <n v="4900"/>
    <s v="OK"/>
    <x v="1"/>
  </r>
  <r>
    <n v="1028"/>
    <s v="SKU108"/>
    <d v="2024-01-28T00:00:00"/>
    <d v="2024-01-31T00:00:00"/>
    <n v="3"/>
    <n v="2"/>
    <s v="Delivered"/>
    <x v="3"/>
    <s v="Wholesale"/>
    <n v="15"/>
    <n v="12000"/>
    <s v="OK"/>
    <x v="0"/>
  </r>
  <r>
    <n v="1029"/>
    <s v="SKU109"/>
    <d v="2024-01-29T00:00:00"/>
    <d v="2024-02-05T00:00:00"/>
    <n v="7"/>
    <n v="4"/>
    <s v="Delayed"/>
    <x v="0"/>
    <s v="Online"/>
    <n v="6"/>
    <n v="4800"/>
    <s v="OK"/>
    <x v="1"/>
  </r>
  <r>
    <n v="1030"/>
    <s v="SKU110"/>
    <d v="2024-01-30T00:00:00"/>
    <d v="2024-02-01T00:00:00"/>
    <n v="2"/>
    <n v="1"/>
    <s v="Delivered"/>
    <x v="1"/>
    <s v="Retail"/>
    <n v="2"/>
    <n v="1400"/>
    <s v="OK"/>
    <x v="0"/>
  </r>
  <r>
    <n v="1031"/>
    <s v="SKU101"/>
    <d v="2024-02-01T00:00:00"/>
    <d v="2024-02-06T00:00:00"/>
    <n v="5"/>
    <n v="3"/>
    <s v="Delivered"/>
    <x v="2"/>
    <s v="Online"/>
    <n v="3"/>
    <n v="1500"/>
    <s v="OK"/>
    <x v="0"/>
  </r>
  <r>
    <n v="1032"/>
    <s v="SKU102"/>
    <d v="2024-02-02T00:00:00"/>
    <d v="2024-02-10T00:00:00"/>
    <n v="8"/>
    <n v="5"/>
    <s v="Delayed"/>
    <x v="3"/>
    <s v="Retail"/>
    <n v="10"/>
    <n v="7000"/>
    <s v="OK"/>
    <x v="1"/>
  </r>
  <r>
    <n v="1033"/>
    <s v="SKU103"/>
    <d v="2024-02-03T00:00:00"/>
    <d v="2024-02-07T00:00:00"/>
    <n v="4"/>
    <n v="2"/>
    <s v="Delivered"/>
    <x v="0"/>
    <s v="Wholesale"/>
    <n v="12"/>
    <n v="9600"/>
    <s v="OK"/>
    <x v="0"/>
  </r>
  <r>
    <n v="1034"/>
    <s v="SKU104"/>
    <d v="2024-02-04T00:00:00"/>
    <d v="2024-02-06T00:00:00"/>
    <n v="2"/>
    <n v="1"/>
    <s v="Delivered"/>
    <x v="1"/>
    <s v="Online"/>
    <n v="1"/>
    <n v="900"/>
    <s v="OK"/>
    <x v="0"/>
  </r>
  <r>
    <n v="1035"/>
    <s v="SKU105"/>
    <d v="2024-02-05T00:00:00"/>
    <d v="2024-02-13T00:00:00"/>
    <n v="8"/>
    <n v="5"/>
    <s v="Delayed"/>
    <x v="2"/>
    <s v="Wholesale"/>
    <n v="11"/>
    <n v="8800"/>
    <s v="OK"/>
    <x v="1"/>
  </r>
  <r>
    <n v="1036"/>
    <s v="SKU106"/>
    <d v="2024-02-06T00:00:00"/>
    <d v="2024-02-09T00:00:00"/>
    <n v="3"/>
    <n v="2"/>
    <s v="Delivered"/>
    <x v="3"/>
    <s v="Retail"/>
    <n v="4"/>
    <n v="2800"/>
    <s v="OK"/>
    <x v="0"/>
  </r>
  <r>
    <n v="1037"/>
    <s v="SKU107"/>
    <d v="2024-02-07T00:00:00"/>
    <d v="2024-02-15T00:00:00"/>
    <n v="8"/>
    <n v="6"/>
    <s v="Delayed"/>
    <x v="0"/>
    <s v="Online"/>
    <n v="6"/>
    <n v="4200"/>
    <s v="OK"/>
    <x v="1"/>
  </r>
  <r>
    <n v="1038"/>
    <s v="SKU108"/>
    <d v="2024-02-08T00:00:00"/>
    <d v="2024-02-11T00:00:00"/>
    <n v="3"/>
    <n v="2"/>
    <s v="Delivered"/>
    <x v="1"/>
    <s v="Wholesale"/>
    <n v="16"/>
    <n v="12800"/>
    <s v="OK"/>
    <x v="0"/>
  </r>
  <r>
    <n v="1039"/>
    <s v="SKU109"/>
    <d v="2024-02-09T00:00:00"/>
    <d v="2024-02-16T00:00:00"/>
    <n v="7"/>
    <n v="4"/>
    <s v="Delayed"/>
    <x v="2"/>
    <s v="Retail"/>
    <n v="5"/>
    <n v="4000"/>
    <s v="OK"/>
    <x v="1"/>
  </r>
  <r>
    <n v="1040"/>
    <s v="SKU110"/>
    <d v="2024-02-10T00:00:00"/>
    <d v="2024-02-13T00:00:00"/>
    <n v="3"/>
    <n v="2"/>
    <s v="Delivered"/>
    <x v="3"/>
    <s v="Online"/>
    <n v="3"/>
    <n v="2400"/>
    <s v="OK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x v="0"/>
    <x v="0"/>
    <d v="2024-01-05T00:00:00"/>
    <n v="4"/>
    <n v="2"/>
    <s v="Delivered"/>
    <s v="North"/>
    <x v="0"/>
    <n v="5"/>
    <n v="2500"/>
    <s v="OK"/>
    <s v="On-Time"/>
    <x v="0"/>
  </r>
  <r>
    <n v="1002"/>
    <x v="1"/>
    <x v="1"/>
    <d v="2024-01-08T00:00:00"/>
    <n v="6"/>
    <n v="3"/>
    <s v="Delivered"/>
    <s v="South"/>
    <x v="1"/>
    <n v="10"/>
    <n v="7200"/>
    <s v="OK"/>
    <s v="Delayed"/>
    <x v="0"/>
  </r>
  <r>
    <n v="1003"/>
    <x v="2"/>
    <x v="2"/>
    <d v="2024-01-10T00:00:00"/>
    <n v="7"/>
    <n v="4"/>
    <s v="Delayed"/>
    <s v="East"/>
    <x v="0"/>
    <n v="3"/>
    <n v="1800"/>
    <s v="OK"/>
    <s v="Delayed"/>
    <x v="0"/>
  </r>
  <r>
    <n v="1004"/>
    <x v="3"/>
    <x v="3"/>
    <d v="2024-01-06T00:00:00"/>
    <n v="2"/>
    <n v="1"/>
    <s v="Delivered"/>
    <s v="West"/>
    <x v="2"/>
    <n v="1"/>
    <n v="900"/>
    <s v="OK"/>
    <s v="On-Time"/>
    <x v="0"/>
  </r>
  <r>
    <n v="1005"/>
    <x v="4"/>
    <x v="4"/>
    <d v="2024-01-12T00:00:00"/>
    <n v="7"/>
    <n v="4"/>
    <s v="Delayed"/>
    <s v="North"/>
    <x v="1"/>
    <n v="8"/>
    <n v="6400"/>
    <s v="OK"/>
    <s v="Delayed"/>
    <x v="0"/>
  </r>
  <r>
    <n v="1006"/>
    <x v="5"/>
    <x v="5"/>
    <d v="2024-01-09T00:00:00"/>
    <n v="3"/>
    <n v="2"/>
    <s v="Delivered"/>
    <s v="South"/>
    <x v="2"/>
    <n v="2"/>
    <n v="1400"/>
    <s v="OK"/>
    <s v="On-Time"/>
    <x v="0"/>
  </r>
  <r>
    <n v="1007"/>
    <x v="6"/>
    <x v="6"/>
    <d v="2024-01-15T00:00:00"/>
    <n v="8"/>
    <n v="5"/>
    <s v="Delayed"/>
    <s v="East"/>
    <x v="0"/>
    <n v="6"/>
    <n v="4200"/>
    <s v="OK"/>
    <s v="Delayed"/>
    <x v="0"/>
  </r>
  <r>
    <n v="1008"/>
    <x v="7"/>
    <x v="7"/>
    <d v="2024-01-11T00:00:00"/>
    <n v="3"/>
    <n v="2"/>
    <s v="Delivered"/>
    <s v="West"/>
    <x v="1"/>
    <n v="12"/>
    <n v="9600"/>
    <s v="OK"/>
    <s v="On-Time"/>
    <x v="0"/>
  </r>
  <r>
    <n v="1009"/>
    <x v="8"/>
    <x v="8"/>
    <d v="2024-01-14T00:00:00"/>
    <n v="5"/>
    <n v="3"/>
    <s v="Delivered"/>
    <s v="North"/>
    <x v="2"/>
    <n v="4"/>
    <n v="3200"/>
    <s v="OK"/>
    <s v="On-Time"/>
    <x v="0"/>
  </r>
  <r>
    <n v="1010"/>
    <x v="9"/>
    <x v="9"/>
    <d v="2024-01-18T00:00:00"/>
    <n v="8"/>
    <n v="5"/>
    <s v="Delayed"/>
    <s v="South"/>
    <x v="0"/>
    <n v="7"/>
    <n v="4900"/>
    <s v="OK"/>
    <s v="Delayed"/>
    <x v="0"/>
  </r>
  <r>
    <n v="1011"/>
    <x v="0"/>
    <x v="10"/>
    <d v="2024-01-14T00:00:00"/>
    <n v="3"/>
    <n v="1"/>
    <s v="Delivered"/>
    <s v="East"/>
    <x v="2"/>
    <n v="1"/>
    <n v="500"/>
    <s v="OK"/>
    <s v="On-Time"/>
    <x v="0"/>
  </r>
  <r>
    <n v="1012"/>
    <x v="1"/>
    <x v="11"/>
    <d v="2024-01-20T00:00:00"/>
    <n v="8"/>
    <n v="5"/>
    <s v="Delayed"/>
    <s v="West"/>
    <x v="0"/>
    <n v="9"/>
    <n v="6300"/>
    <s v="OK"/>
    <s v="Delayed"/>
    <x v="0"/>
  </r>
  <r>
    <n v="1013"/>
    <x v="2"/>
    <x v="12"/>
    <d v="2024-01-17T00:00:00"/>
    <n v="4"/>
    <n v="2"/>
    <s v="Delivered"/>
    <s v="North"/>
    <x v="1"/>
    <n v="11"/>
    <n v="8800"/>
    <s v="OK"/>
    <s v="On-Time"/>
    <x v="0"/>
  </r>
  <r>
    <n v="1014"/>
    <x v="3"/>
    <x v="13"/>
    <d v="2024-01-16T00:00:00"/>
    <n v="2"/>
    <n v="1"/>
    <s v="Delivered"/>
    <s v="South"/>
    <x v="2"/>
    <n v="2"/>
    <n v="1800"/>
    <s v="OK"/>
    <s v="On-Time"/>
    <x v="0"/>
  </r>
  <r>
    <n v="1015"/>
    <x v="4"/>
    <x v="14"/>
    <d v="2024-01-23T00:00:00"/>
    <n v="8"/>
    <n v="5"/>
    <s v="Delayed"/>
    <s v="East"/>
    <x v="1"/>
    <n v="10"/>
    <n v="8000"/>
    <s v="OK"/>
    <s v="Delayed"/>
    <x v="0"/>
  </r>
  <r>
    <n v="1016"/>
    <x v="5"/>
    <x v="15"/>
    <d v="2024-01-19T00:00:00"/>
    <n v="3"/>
    <n v="2"/>
    <s v="Delivered"/>
    <s v="West"/>
    <x v="0"/>
    <n v="4"/>
    <n v="2800"/>
    <s v="OK"/>
    <s v="On-Time"/>
    <x v="0"/>
  </r>
  <r>
    <n v="1017"/>
    <x v="6"/>
    <x v="16"/>
    <d v="2024-01-25T00:00:00"/>
    <n v="8"/>
    <n v="6"/>
    <s v="Delayed"/>
    <s v="North"/>
    <x v="2"/>
    <n v="6"/>
    <n v="4200"/>
    <s v="OK"/>
    <s v="Delayed"/>
    <x v="0"/>
  </r>
  <r>
    <n v="1018"/>
    <x v="7"/>
    <x v="17"/>
    <d v="2024-01-21T00:00:00"/>
    <n v="3"/>
    <n v="2"/>
    <s v="Delivered"/>
    <s v="South"/>
    <x v="1"/>
    <n v="14"/>
    <n v="11200"/>
    <s v="OK"/>
    <s v="On-Time"/>
    <x v="0"/>
  </r>
  <r>
    <n v="1019"/>
    <x v="8"/>
    <x v="18"/>
    <d v="2024-01-26T00:00:00"/>
    <n v="7"/>
    <n v="4"/>
    <s v="Delayed"/>
    <s v="East"/>
    <x v="0"/>
    <n v="5"/>
    <n v="4000"/>
    <s v="OK"/>
    <s v="Delayed"/>
    <x v="0"/>
  </r>
  <r>
    <n v="1020"/>
    <x v="9"/>
    <x v="19"/>
    <d v="2024-01-23T00:00:00"/>
    <n v="3"/>
    <n v="2"/>
    <s v="Delivered"/>
    <s v="West"/>
    <x v="2"/>
    <n v="2"/>
    <n v="1600"/>
    <s v="OK"/>
    <s v="On-Time"/>
    <x v="0"/>
  </r>
  <r>
    <n v="1021"/>
    <x v="0"/>
    <x v="20"/>
    <d v="2024-01-27T00:00:00"/>
    <n v="6"/>
    <n v="3"/>
    <s v="Delivered"/>
    <s v="North"/>
    <x v="0"/>
    <n v="3"/>
    <n v="1500"/>
    <s v="OK"/>
    <s v="Delayed"/>
    <x v="0"/>
  </r>
  <r>
    <n v="1022"/>
    <x v="1"/>
    <x v="21"/>
    <d v="2024-01-30T00:00:00"/>
    <n v="8"/>
    <n v="5"/>
    <s v="Delayed"/>
    <s v="South"/>
    <x v="1"/>
    <n v="12"/>
    <n v="8400"/>
    <s v="OK"/>
    <s v="Delayed"/>
    <x v="0"/>
  </r>
  <r>
    <n v="1023"/>
    <x v="2"/>
    <x v="22"/>
    <d v="2024-01-26T00:00:00"/>
    <n v="3"/>
    <n v="2"/>
    <s v="Delivered"/>
    <s v="East"/>
    <x v="2"/>
    <n v="2"/>
    <n v="1200"/>
    <s v="OK"/>
    <s v="On-Time"/>
    <x v="0"/>
  </r>
  <r>
    <n v="1024"/>
    <x v="3"/>
    <x v="23"/>
    <d v="2024-01-29T00:00:00"/>
    <n v="5"/>
    <n v="3"/>
    <s v="Delivered"/>
    <s v="West"/>
    <x v="0"/>
    <n v="5"/>
    <n v="4500"/>
    <s v="OK"/>
    <s v="On-Time"/>
    <x v="0"/>
  </r>
  <r>
    <n v="1025"/>
    <x v="4"/>
    <x v="24"/>
    <d v="2024-02-02T00:00:00"/>
    <n v="8"/>
    <n v="5"/>
    <s v="Delayed"/>
    <s v="North"/>
    <x v="1"/>
    <n v="9"/>
    <n v="7200"/>
    <s v="OK"/>
    <s v="Delayed"/>
    <x v="0"/>
  </r>
  <r>
    <n v="1026"/>
    <x v="5"/>
    <x v="25"/>
    <d v="2024-01-31T00:00:00"/>
    <n v="5"/>
    <n v="3"/>
    <s v="Delivered"/>
    <s v="South"/>
    <x v="2"/>
    <n v="4"/>
    <n v="2800"/>
    <s v="OK"/>
    <s v="On-Time"/>
    <x v="0"/>
  </r>
  <r>
    <n v="1027"/>
    <x v="6"/>
    <x v="26"/>
    <d v="2024-02-04T00:00:00"/>
    <n v="8"/>
    <n v="5"/>
    <s v="Delayed"/>
    <s v="East"/>
    <x v="0"/>
    <n v="7"/>
    <n v="4900"/>
    <s v="OK"/>
    <s v="Delayed"/>
    <x v="0"/>
  </r>
  <r>
    <n v="1028"/>
    <x v="7"/>
    <x v="27"/>
    <d v="2024-01-31T00:00:00"/>
    <n v="3"/>
    <n v="2"/>
    <s v="Delivered"/>
    <s v="West"/>
    <x v="1"/>
    <n v="15"/>
    <n v="12000"/>
    <s v="OK"/>
    <s v="On-Time"/>
    <x v="0"/>
  </r>
  <r>
    <n v="1029"/>
    <x v="8"/>
    <x v="28"/>
    <d v="2024-02-05T00:00:00"/>
    <n v="7"/>
    <n v="4"/>
    <s v="Delayed"/>
    <s v="North"/>
    <x v="2"/>
    <n v="6"/>
    <n v="4800"/>
    <s v="OK"/>
    <s v="Delayed"/>
    <x v="0"/>
  </r>
  <r>
    <n v="1030"/>
    <x v="9"/>
    <x v="29"/>
    <d v="2024-02-01T00:00:00"/>
    <n v="2"/>
    <n v="1"/>
    <s v="Delivered"/>
    <s v="South"/>
    <x v="0"/>
    <n v="2"/>
    <n v="1400"/>
    <s v="OK"/>
    <s v="On-Time"/>
    <x v="0"/>
  </r>
  <r>
    <n v="1031"/>
    <x v="0"/>
    <x v="30"/>
    <d v="2024-02-06T00:00:00"/>
    <n v="5"/>
    <n v="3"/>
    <s v="Delivered"/>
    <s v="East"/>
    <x v="2"/>
    <n v="3"/>
    <n v="1500"/>
    <s v="OK"/>
    <s v="On-Time"/>
    <x v="1"/>
  </r>
  <r>
    <n v="1032"/>
    <x v="1"/>
    <x v="31"/>
    <d v="2024-02-10T00:00:00"/>
    <n v="8"/>
    <n v="5"/>
    <s v="Delayed"/>
    <s v="West"/>
    <x v="0"/>
    <n v="10"/>
    <n v="7000"/>
    <s v="OK"/>
    <s v="Delayed"/>
    <x v="1"/>
  </r>
  <r>
    <n v="1033"/>
    <x v="2"/>
    <x v="32"/>
    <d v="2024-02-07T00:00:00"/>
    <n v="4"/>
    <n v="2"/>
    <s v="Delivered"/>
    <s v="North"/>
    <x v="1"/>
    <n v="12"/>
    <n v="9600"/>
    <s v="OK"/>
    <s v="On-Time"/>
    <x v="1"/>
  </r>
  <r>
    <n v="1034"/>
    <x v="3"/>
    <x v="33"/>
    <d v="2024-02-06T00:00:00"/>
    <n v="2"/>
    <n v="1"/>
    <s v="Delivered"/>
    <s v="South"/>
    <x v="2"/>
    <n v="1"/>
    <n v="900"/>
    <s v="OK"/>
    <s v="On-Time"/>
    <x v="1"/>
  </r>
  <r>
    <n v="1035"/>
    <x v="4"/>
    <x v="34"/>
    <d v="2024-02-13T00:00:00"/>
    <n v="8"/>
    <n v="5"/>
    <s v="Delayed"/>
    <s v="East"/>
    <x v="1"/>
    <n v="11"/>
    <n v="8800"/>
    <s v="OK"/>
    <s v="Delayed"/>
    <x v="1"/>
  </r>
  <r>
    <n v="1036"/>
    <x v="5"/>
    <x v="35"/>
    <d v="2024-02-09T00:00:00"/>
    <n v="3"/>
    <n v="2"/>
    <s v="Delivered"/>
    <s v="West"/>
    <x v="0"/>
    <n v="4"/>
    <n v="2800"/>
    <s v="OK"/>
    <s v="On-Time"/>
    <x v="1"/>
  </r>
  <r>
    <n v="1037"/>
    <x v="6"/>
    <x v="36"/>
    <d v="2024-02-15T00:00:00"/>
    <n v="8"/>
    <n v="6"/>
    <s v="Delayed"/>
    <s v="North"/>
    <x v="2"/>
    <n v="6"/>
    <n v="4200"/>
    <s v="OK"/>
    <s v="Delayed"/>
    <x v="1"/>
  </r>
  <r>
    <n v="1038"/>
    <x v="7"/>
    <x v="37"/>
    <d v="2024-02-11T00:00:00"/>
    <n v="3"/>
    <n v="2"/>
    <s v="Delivered"/>
    <s v="South"/>
    <x v="1"/>
    <n v="16"/>
    <n v="12800"/>
    <s v="OK"/>
    <s v="On-Time"/>
    <x v="1"/>
  </r>
  <r>
    <n v="1039"/>
    <x v="8"/>
    <x v="38"/>
    <d v="2024-02-16T00:00:00"/>
    <n v="7"/>
    <n v="4"/>
    <s v="Delayed"/>
    <s v="East"/>
    <x v="0"/>
    <n v="5"/>
    <n v="4000"/>
    <s v="OK"/>
    <s v="Delayed"/>
    <x v="1"/>
  </r>
  <r>
    <n v="1040"/>
    <x v="9"/>
    <x v="39"/>
    <d v="2024-02-13T00:00:00"/>
    <n v="3"/>
    <n v="2"/>
    <s v="Delivered"/>
    <s v="West"/>
    <x v="2"/>
    <n v="3"/>
    <n v="2400"/>
    <s v="OK"/>
    <s v="On-Tim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D925E-4006-4603-A308-13505EE9DE7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3">
    <pivotField dataField="1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1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D470E-7246-4200-8929-74ED193E2CD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3">
    <pivotField showAll="0"/>
    <pivotField showAll="0"/>
    <pivotField numFmtId="165" showAll="0"/>
    <pivotField numFmtId="165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6BC82-3518-435C-B3E1-073225B0695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1" firstDataRow="2" firstDataCol="1"/>
  <pivotFields count="13">
    <pivotField dataField="1" showAll="0"/>
    <pivotField showAll="0"/>
    <pivotField numFmtId="165" showAll="0"/>
    <pivotField numFmtId="165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order_id" fld="0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B1983-611C-4297-927A-71171E7C4A93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6">
    <pivotField showAll="0"/>
    <pivotField showAll="0"/>
    <pivotField numFmtId="165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revenue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4CB4F-F0BE-4F97-9EB8-3183566F219E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6">
    <pivotField showAll="0"/>
    <pivotField showAll="0"/>
    <pivotField numFmtId="165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umFmtId="165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5D73D-BD8D-40E9-BDA8-644FAED1497D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6">
    <pivotField showAll="0"/>
    <pivotField axis="axisRow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1">
    <i>
      <x v="7"/>
    </i>
    <i>
      <x v="4"/>
    </i>
    <i>
      <x v="1"/>
    </i>
    <i>
      <x v="2"/>
    </i>
    <i>
      <x v="6"/>
    </i>
    <i>
      <x v="8"/>
    </i>
    <i>
      <x v="9"/>
    </i>
    <i>
      <x v="5"/>
    </i>
    <i>
      <x v="3"/>
    </i>
    <i>
      <x/>
    </i>
    <i t="grand">
      <x/>
    </i>
  </rowItems>
  <colItems count="1">
    <i/>
  </colItems>
  <dataFields count="1">
    <dataField name="Sum of revenue" fld="10" baseField="1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DA85-FBF6-42FD-91F8-82411E12A188}">
  <dimension ref="A1:F6"/>
  <sheetViews>
    <sheetView workbookViewId="0">
      <selection activeCell="B11" sqref="B11"/>
    </sheetView>
  </sheetViews>
  <sheetFormatPr defaultRowHeight="14.5"/>
  <cols>
    <col min="1" max="1" width="12.36328125" bestFit="1" customWidth="1"/>
    <col min="2" max="2" width="15.81640625" bestFit="1" customWidth="1"/>
    <col min="6" max="6" width="25.81640625" customWidth="1"/>
  </cols>
  <sheetData>
    <row r="1" spans="1:6">
      <c r="A1" t="s">
        <v>39</v>
      </c>
    </row>
    <row r="2" spans="1:6">
      <c r="F2" t="s">
        <v>38</v>
      </c>
    </row>
    <row r="3" spans="1:6">
      <c r="A3" s="2" t="s">
        <v>32</v>
      </c>
      <c r="B3" t="s">
        <v>36</v>
      </c>
    </row>
    <row r="4" spans="1:6">
      <c r="A4" s="3" t="s">
        <v>19</v>
      </c>
      <c r="B4" s="4">
        <v>18</v>
      </c>
    </row>
    <row r="5" spans="1:6">
      <c r="A5" s="3" t="s">
        <v>33</v>
      </c>
      <c r="B5" s="4">
        <v>22</v>
      </c>
    </row>
    <row r="6" spans="1:6">
      <c r="A6" s="3" t="s">
        <v>34</v>
      </c>
      <c r="B6" s="4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A5A4-D773-4159-8B92-180CB9021872}">
  <dimension ref="A1:E8"/>
  <sheetViews>
    <sheetView workbookViewId="0">
      <selection activeCell="J7" sqref="J7"/>
    </sheetView>
  </sheetViews>
  <sheetFormatPr defaultRowHeight="14.5"/>
  <cols>
    <col min="1" max="1" width="12.36328125" bestFit="1" customWidth="1"/>
    <col min="2" max="2" width="14" bestFit="1" customWidth="1"/>
    <col min="5" max="5" width="23.7265625" customWidth="1"/>
  </cols>
  <sheetData>
    <row r="1" spans="1:5">
      <c r="A1" t="s">
        <v>40</v>
      </c>
    </row>
    <row r="2" spans="1:5">
      <c r="E2" t="s">
        <v>38</v>
      </c>
    </row>
    <row r="3" spans="1:5">
      <c r="A3" s="2" t="s">
        <v>32</v>
      </c>
      <c r="B3" t="s">
        <v>37</v>
      </c>
    </row>
    <row r="4" spans="1:5">
      <c r="A4" s="3" t="s">
        <v>20</v>
      </c>
      <c r="B4" s="4">
        <v>38900</v>
      </c>
    </row>
    <row r="5" spans="1:5">
      <c r="A5" s="3" t="s">
        <v>13</v>
      </c>
      <c r="B5" s="4">
        <v>52400</v>
      </c>
    </row>
    <row r="6" spans="1:5">
      <c r="A6" s="3" t="s">
        <v>16</v>
      </c>
      <c r="B6" s="4">
        <v>52800</v>
      </c>
    </row>
    <row r="7" spans="1:5">
      <c r="A7" s="3" t="s">
        <v>22</v>
      </c>
      <c r="B7" s="4">
        <v>49900</v>
      </c>
    </row>
    <row r="8" spans="1:5">
      <c r="A8" s="3" t="s">
        <v>34</v>
      </c>
      <c r="B8" s="4">
        <v>194000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6459-0085-419D-A69B-5F8B9034FF75}">
  <dimension ref="A1:H9"/>
  <sheetViews>
    <sheetView workbookViewId="0">
      <selection activeCell="H4" sqref="H4"/>
    </sheetView>
  </sheetViews>
  <sheetFormatPr defaultRowHeight="14.5"/>
  <cols>
    <col min="1" max="1" width="14.36328125" bestFit="1" customWidth="1"/>
    <col min="2" max="2" width="15.26953125" bestFit="1" customWidth="1"/>
    <col min="3" max="3" width="8" bestFit="1" customWidth="1"/>
    <col min="4" max="4" width="10.7265625" bestFit="1" customWidth="1"/>
    <col min="8" max="8" width="23.54296875" customWidth="1"/>
  </cols>
  <sheetData>
    <row r="1" spans="1:8">
      <c r="A1" t="s">
        <v>42</v>
      </c>
    </row>
    <row r="3" spans="1:8">
      <c r="A3" s="2" t="s">
        <v>35</v>
      </c>
      <c r="B3" s="2" t="s">
        <v>41</v>
      </c>
      <c r="H3" t="s">
        <v>43</v>
      </c>
    </row>
    <row r="4" spans="1:8">
      <c r="A4" s="2" t="s">
        <v>32</v>
      </c>
      <c r="B4" t="s">
        <v>19</v>
      </c>
      <c r="C4" t="s">
        <v>33</v>
      </c>
      <c r="D4" t="s">
        <v>34</v>
      </c>
    </row>
    <row r="5" spans="1:8">
      <c r="A5" s="3" t="s">
        <v>20</v>
      </c>
      <c r="B5" s="4">
        <v>7145</v>
      </c>
      <c r="C5" s="4">
        <v>3065</v>
      </c>
      <c r="D5" s="4">
        <v>10210</v>
      </c>
    </row>
    <row r="6" spans="1:8">
      <c r="A6" s="3" t="s">
        <v>13</v>
      </c>
      <c r="B6" s="4">
        <v>6134</v>
      </c>
      <c r="C6" s="4">
        <v>4056</v>
      </c>
      <c r="D6" s="4">
        <v>10190</v>
      </c>
    </row>
    <row r="7" spans="1:8">
      <c r="A7" s="3" t="s">
        <v>16</v>
      </c>
      <c r="B7" s="4">
        <v>3034</v>
      </c>
      <c r="C7" s="4">
        <v>7166</v>
      </c>
      <c r="D7" s="4">
        <v>10200</v>
      </c>
    </row>
    <row r="8" spans="1:8">
      <c r="A8" s="3" t="s">
        <v>22</v>
      </c>
      <c r="B8" s="4">
        <v>2044</v>
      </c>
      <c r="C8" s="4">
        <v>8176</v>
      </c>
      <c r="D8" s="4">
        <v>10220</v>
      </c>
    </row>
    <row r="9" spans="1:8">
      <c r="A9" s="3" t="s">
        <v>34</v>
      </c>
      <c r="B9" s="4">
        <v>18357</v>
      </c>
      <c r="C9" s="4">
        <v>22463</v>
      </c>
      <c r="D9" s="4">
        <v>40820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C744-0FCB-4115-B4DA-4AD000B62DE2}">
  <dimension ref="A3:E6"/>
  <sheetViews>
    <sheetView topLeftCell="J2" workbookViewId="0">
      <selection activeCell="K12" sqref="K12"/>
    </sheetView>
  </sheetViews>
  <sheetFormatPr defaultRowHeight="14.5"/>
  <cols>
    <col min="1" max="1" width="12.36328125" bestFit="1" customWidth="1"/>
    <col min="2" max="2" width="14" bestFit="1" customWidth="1"/>
  </cols>
  <sheetData>
    <row r="3" spans="1:5">
      <c r="A3" s="2" t="s">
        <v>32</v>
      </c>
      <c r="B3" t="s">
        <v>37</v>
      </c>
      <c r="E3" t="s">
        <v>47</v>
      </c>
    </row>
    <row r="4" spans="1:5">
      <c r="A4" s="3" t="s">
        <v>45</v>
      </c>
      <c r="B4" s="4">
        <v>54000</v>
      </c>
    </row>
    <row r="5" spans="1:5">
      <c r="A5" s="3" t="s">
        <v>46</v>
      </c>
      <c r="B5" s="4">
        <v>140000</v>
      </c>
    </row>
    <row r="6" spans="1:5">
      <c r="A6" s="3" t="s">
        <v>34</v>
      </c>
      <c r="B6" s="4">
        <v>194000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F575-77CC-4886-930C-1EE84321847A}">
  <dimension ref="A3:E7"/>
  <sheetViews>
    <sheetView workbookViewId="0">
      <selection activeCell="M14" sqref="M14"/>
    </sheetView>
  </sheetViews>
  <sheetFormatPr defaultRowHeight="14.5"/>
  <cols>
    <col min="1" max="1" width="12.36328125" bestFit="1" customWidth="1"/>
    <col min="2" max="2" width="14" bestFit="1" customWidth="1"/>
  </cols>
  <sheetData>
    <row r="3" spans="1:5">
      <c r="A3" s="2" t="s">
        <v>32</v>
      </c>
      <c r="B3" t="s">
        <v>37</v>
      </c>
    </row>
    <row r="4" spans="1:5">
      <c r="A4" s="3" t="s">
        <v>23</v>
      </c>
      <c r="B4" s="4">
        <v>31400</v>
      </c>
      <c r="E4" s="5" t="s">
        <v>48</v>
      </c>
    </row>
    <row r="5" spans="1:5">
      <c r="A5" s="3" t="s">
        <v>14</v>
      </c>
      <c r="B5" s="4">
        <v>52600</v>
      </c>
    </row>
    <row r="6" spans="1:5">
      <c r="A6" s="3" t="s">
        <v>17</v>
      </c>
      <c r="B6" s="4">
        <v>110000</v>
      </c>
    </row>
    <row r="7" spans="1:5">
      <c r="A7" s="3" t="s">
        <v>34</v>
      </c>
      <c r="B7" s="4">
        <v>194000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B774-9CD0-4863-95DB-3A0FF20B6A1D}">
  <dimension ref="A3:F14"/>
  <sheetViews>
    <sheetView topLeftCell="A2" workbookViewId="0">
      <selection activeCell="M12" sqref="M12"/>
    </sheetView>
  </sheetViews>
  <sheetFormatPr defaultRowHeight="14.5"/>
  <cols>
    <col min="1" max="1" width="12.36328125" bestFit="1" customWidth="1"/>
    <col min="2" max="2" width="14" bestFit="1" customWidth="1"/>
  </cols>
  <sheetData>
    <row r="3" spans="1:6">
      <c r="A3" s="2" t="s">
        <v>32</v>
      </c>
      <c r="B3" t="s">
        <v>37</v>
      </c>
      <c r="F3" s="5" t="s">
        <v>49</v>
      </c>
    </row>
    <row r="4" spans="1:6">
      <c r="A4" s="3" t="s">
        <v>27</v>
      </c>
      <c r="B4" s="4">
        <v>45600</v>
      </c>
    </row>
    <row r="5" spans="1:6">
      <c r="A5" s="3" t="s">
        <v>24</v>
      </c>
      <c r="B5" s="4">
        <v>30400</v>
      </c>
    </row>
    <row r="6" spans="1:6">
      <c r="A6" s="3" t="s">
        <v>15</v>
      </c>
      <c r="B6" s="4">
        <v>28900</v>
      </c>
    </row>
    <row r="7" spans="1:6">
      <c r="A7" s="3" t="s">
        <v>18</v>
      </c>
      <c r="B7" s="4">
        <v>21400</v>
      </c>
    </row>
    <row r="8" spans="1:6">
      <c r="A8" s="3" t="s">
        <v>26</v>
      </c>
      <c r="B8" s="4">
        <v>17500</v>
      </c>
    </row>
    <row r="9" spans="1:6">
      <c r="A9" s="3" t="s">
        <v>28</v>
      </c>
      <c r="B9" s="4">
        <v>16000</v>
      </c>
    </row>
    <row r="10" spans="1:6">
      <c r="A10" s="3" t="s">
        <v>29</v>
      </c>
      <c r="B10" s="4">
        <v>10300</v>
      </c>
    </row>
    <row r="11" spans="1:6">
      <c r="A11" s="3" t="s">
        <v>25</v>
      </c>
      <c r="B11" s="4">
        <v>9800</v>
      </c>
    </row>
    <row r="12" spans="1:6">
      <c r="A12" s="3" t="s">
        <v>21</v>
      </c>
      <c r="B12" s="4">
        <v>8100</v>
      </c>
    </row>
    <row r="13" spans="1:6">
      <c r="A13" s="3" t="s">
        <v>11</v>
      </c>
      <c r="B13" s="4">
        <v>6000</v>
      </c>
    </row>
    <row r="14" spans="1:6">
      <c r="A14" s="3" t="s">
        <v>34</v>
      </c>
      <c r="B14" s="4">
        <v>194000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7427-347D-4DC9-9DD2-33EEB4D46164}">
  <dimension ref="A1:N41"/>
  <sheetViews>
    <sheetView tabSelected="1" workbookViewId="0">
      <selection activeCell="E9" sqref="E9"/>
    </sheetView>
  </sheetViews>
  <sheetFormatPr defaultRowHeight="14.5"/>
  <cols>
    <col min="3" max="4" width="10.08984375" style="1" bestFit="1" customWidth="1"/>
    <col min="12" max="12" width="44" customWidth="1"/>
    <col min="13" max="13" width="20.6328125" customWidth="1"/>
  </cols>
  <sheetData>
    <row r="1" spans="1:14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30</v>
      </c>
      <c r="M1" t="s">
        <v>31</v>
      </c>
      <c r="N1" t="s">
        <v>44</v>
      </c>
    </row>
    <row r="2" spans="1:14">
      <c r="A2">
        <v>1001</v>
      </c>
      <c r="B2" t="s">
        <v>11</v>
      </c>
      <c r="C2" s="1">
        <v>45292</v>
      </c>
      <c r="D2" s="1">
        <v>45296</v>
      </c>
      <c r="E2">
        <v>4</v>
      </c>
      <c r="F2">
        <v>2</v>
      </c>
      <c r="G2" t="s">
        <v>12</v>
      </c>
      <c r="H2" t="s">
        <v>13</v>
      </c>
      <c r="I2" t="s">
        <v>14</v>
      </c>
      <c r="J2">
        <v>5</v>
      </c>
      <c r="K2">
        <v>2500</v>
      </c>
      <c r="L2" t="str">
        <f>IF(D2&lt;C2,"ERROR","OK")</f>
        <v>OK</v>
      </c>
      <c r="M2" t="str">
        <f>IF(E2&gt;5,"Delayed","On-Time")</f>
        <v>On-Time</v>
      </c>
      <c r="N2" t="str">
        <f>TEXT(C2,"MMM-YYYY")</f>
        <v>Jan-2024</v>
      </c>
    </row>
    <row r="3" spans="1:14">
      <c r="A3">
        <v>1002</v>
      </c>
      <c r="B3" t="s">
        <v>15</v>
      </c>
      <c r="C3" s="1">
        <v>45293</v>
      </c>
      <c r="D3" s="1">
        <v>45299</v>
      </c>
      <c r="E3">
        <v>6</v>
      </c>
      <c r="F3">
        <v>3</v>
      </c>
      <c r="G3" t="s">
        <v>12</v>
      </c>
      <c r="H3" t="s">
        <v>16</v>
      </c>
      <c r="I3" t="s">
        <v>17</v>
      </c>
      <c r="J3">
        <v>10</v>
      </c>
      <c r="K3">
        <v>7200</v>
      </c>
      <c r="L3" t="str">
        <f t="shared" ref="L3:L41" si="0">IF(D3&lt;C3,"ERROR","OK")</f>
        <v>OK</v>
      </c>
      <c r="M3" t="str">
        <f t="shared" ref="M3:M41" si="1">IF(E3&gt;5,"Delayed","On-Time")</f>
        <v>Delayed</v>
      </c>
      <c r="N3" t="str">
        <f t="shared" ref="N3:N41" si="2">TEXT(C3,"MMM-YYYY")</f>
        <v>Jan-2024</v>
      </c>
    </row>
    <row r="4" spans="1:14">
      <c r="A4">
        <v>1003</v>
      </c>
      <c r="B4" t="s">
        <v>18</v>
      </c>
      <c r="C4" s="1">
        <v>45294</v>
      </c>
      <c r="D4" s="1">
        <v>45301</v>
      </c>
      <c r="E4">
        <v>7</v>
      </c>
      <c r="F4">
        <v>4</v>
      </c>
      <c r="G4" t="s">
        <v>19</v>
      </c>
      <c r="H4" t="s">
        <v>20</v>
      </c>
      <c r="I4" t="s">
        <v>14</v>
      </c>
      <c r="J4">
        <v>3</v>
      </c>
      <c r="K4">
        <v>1800</v>
      </c>
      <c r="L4" t="str">
        <f t="shared" si="0"/>
        <v>OK</v>
      </c>
      <c r="M4" t="str">
        <f t="shared" si="1"/>
        <v>Delayed</v>
      </c>
      <c r="N4" t="str">
        <f t="shared" si="2"/>
        <v>Jan-2024</v>
      </c>
    </row>
    <row r="5" spans="1:14">
      <c r="A5">
        <v>1004</v>
      </c>
      <c r="B5" t="s">
        <v>21</v>
      </c>
      <c r="C5" s="1">
        <v>45295</v>
      </c>
      <c r="D5" s="1">
        <v>45297</v>
      </c>
      <c r="E5">
        <v>2</v>
      </c>
      <c r="F5">
        <v>1</v>
      </c>
      <c r="G5" t="s">
        <v>12</v>
      </c>
      <c r="H5" t="s">
        <v>22</v>
      </c>
      <c r="I5" t="s">
        <v>23</v>
      </c>
      <c r="J5">
        <v>1</v>
      </c>
      <c r="K5">
        <v>900</v>
      </c>
      <c r="L5" t="str">
        <f t="shared" si="0"/>
        <v>OK</v>
      </c>
      <c r="M5" t="str">
        <f t="shared" si="1"/>
        <v>On-Time</v>
      </c>
      <c r="N5" t="str">
        <f t="shared" si="2"/>
        <v>Jan-2024</v>
      </c>
    </row>
    <row r="6" spans="1:14">
      <c r="A6">
        <v>1005</v>
      </c>
      <c r="B6" t="s">
        <v>24</v>
      </c>
      <c r="C6" s="1">
        <v>45296</v>
      </c>
      <c r="D6" s="1">
        <v>45303</v>
      </c>
      <c r="E6">
        <v>7</v>
      </c>
      <c r="F6">
        <v>4</v>
      </c>
      <c r="G6" t="s">
        <v>19</v>
      </c>
      <c r="H6" t="s">
        <v>13</v>
      </c>
      <c r="I6" t="s">
        <v>17</v>
      </c>
      <c r="J6">
        <v>8</v>
      </c>
      <c r="K6">
        <v>6400</v>
      </c>
      <c r="L6" t="str">
        <f t="shared" si="0"/>
        <v>OK</v>
      </c>
      <c r="M6" t="str">
        <f t="shared" si="1"/>
        <v>Delayed</v>
      </c>
      <c r="N6" t="str">
        <f t="shared" si="2"/>
        <v>Jan-2024</v>
      </c>
    </row>
    <row r="7" spans="1:14">
      <c r="A7">
        <v>1006</v>
      </c>
      <c r="B7" t="s">
        <v>25</v>
      </c>
      <c r="C7" s="1">
        <v>45297</v>
      </c>
      <c r="D7" s="1">
        <v>45300</v>
      </c>
      <c r="E7">
        <v>3</v>
      </c>
      <c r="F7">
        <v>2</v>
      </c>
      <c r="G7" t="s">
        <v>12</v>
      </c>
      <c r="H7" t="s">
        <v>16</v>
      </c>
      <c r="I7" t="s">
        <v>23</v>
      </c>
      <c r="J7">
        <v>2</v>
      </c>
      <c r="K7">
        <v>1400</v>
      </c>
      <c r="L7" t="str">
        <f t="shared" si="0"/>
        <v>OK</v>
      </c>
      <c r="M7" t="str">
        <f t="shared" si="1"/>
        <v>On-Time</v>
      </c>
      <c r="N7" t="str">
        <f t="shared" si="2"/>
        <v>Jan-2024</v>
      </c>
    </row>
    <row r="8" spans="1:14">
      <c r="A8">
        <v>1007</v>
      </c>
      <c r="B8" t="s">
        <v>26</v>
      </c>
      <c r="C8" s="1">
        <v>45298</v>
      </c>
      <c r="D8" s="1">
        <v>45306</v>
      </c>
      <c r="E8">
        <v>8</v>
      </c>
      <c r="F8">
        <v>5</v>
      </c>
      <c r="G8" t="s">
        <v>19</v>
      </c>
      <c r="H8" t="s">
        <v>20</v>
      </c>
      <c r="I8" t="s">
        <v>14</v>
      </c>
      <c r="J8">
        <v>6</v>
      </c>
      <c r="K8">
        <v>4200</v>
      </c>
      <c r="L8" t="str">
        <f>IF(D8&lt;C8,"ERROR","OK")</f>
        <v>OK</v>
      </c>
      <c r="M8" t="str">
        <f t="shared" si="1"/>
        <v>Delayed</v>
      </c>
      <c r="N8" t="str">
        <f t="shared" si="2"/>
        <v>Jan-2024</v>
      </c>
    </row>
    <row r="9" spans="1:14">
      <c r="A9">
        <v>1008</v>
      </c>
      <c r="B9" t="s">
        <v>27</v>
      </c>
      <c r="C9" s="1">
        <v>45299</v>
      </c>
      <c r="D9" s="1">
        <v>45302</v>
      </c>
      <c r="E9">
        <v>3</v>
      </c>
      <c r="F9">
        <v>2</v>
      </c>
      <c r="G9" t="s">
        <v>12</v>
      </c>
      <c r="H9" t="s">
        <v>22</v>
      </c>
      <c r="I9" t="s">
        <v>17</v>
      </c>
      <c r="J9">
        <v>12</v>
      </c>
      <c r="K9">
        <v>9600</v>
      </c>
      <c r="L9" t="str">
        <f t="shared" si="0"/>
        <v>OK</v>
      </c>
      <c r="M9" t="str">
        <f t="shared" si="1"/>
        <v>On-Time</v>
      </c>
      <c r="N9" t="str">
        <f t="shared" si="2"/>
        <v>Jan-2024</v>
      </c>
    </row>
    <row r="10" spans="1:14">
      <c r="A10">
        <v>1009</v>
      </c>
      <c r="B10" t="s">
        <v>28</v>
      </c>
      <c r="C10" s="1">
        <v>45300</v>
      </c>
      <c r="D10" s="1">
        <v>45305</v>
      </c>
      <c r="E10">
        <v>5</v>
      </c>
      <c r="F10">
        <v>3</v>
      </c>
      <c r="G10" t="s">
        <v>12</v>
      </c>
      <c r="H10" t="s">
        <v>13</v>
      </c>
      <c r="I10" t="s">
        <v>23</v>
      </c>
      <c r="J10">
        <v>4</v>
      </c>
      <c r="K10">
        <v>3200</v>
      </c>
      <c r="L10" t="str">
        <f t="shared" si="0"/>
        <v>OK</v>
      </c>
      <c r="M10" t="str">
        <f t="shared" si="1"/>
        <v>On-Time</v>
      </c>
      <c r="N10" t="str">
        <f t="shared" si="2"/>
        <v>Jan-2024</v>
      </c>
    </row>
    <row r="11" spans="1:14">
      <c r="A11">
        <v>1010</v>
      </c>
      <c r="B11" t="s">
        <v>29</v>
      </c>
      <c r="C11" s="1">
        <v>45301</v>
      </c>
      <c r="D11" s="1">
        <v>45309</v>
      </c>
      <c r="E11">
        <v>8</v>
      </c>
      <c r="F11">
        <v>5</v>
      </c>
      <c r="G11" t="s">
        <v>19</v>
      </c>
      <c r="H11" t="s">
        <v>16</v>
      </c>
      <c r="I11" t="s">
        <v>14</v>
      </c>
      <c r="J11">
        <v>7</v>
      </c>
      <c r="K11">
        <v>4900</v>
      </c>
      <c r="L11" t="str">
        <f t="shared" si="0"/>
        <v>OK</v>
      </c>
      <c r="M11" t="str">
        <f t="shared" si="1"/>
        <v>Delayed</v>
      </c>
      <c r="N11" t="str">
        <f t="shared" si="2"/>
        <v>Jan-2024</v>
      </c>
    </row>
    <row r="12" spans="1:14">
      <c r="A12">
        <v>1011</v>
      </c>
      <c r="B12" t="s">
        <v>11</v>
      </c>
      <c r="C12" s="1">
        <v>45302</v>
      </c>
      <c r="D12" s="1">
        <v>45305</v>
      </c>
      <c r="E12">
        <v>3</v>
      </c>
      <c r="F12">
        <v>1</v>
      </c>
      <c r="G12" t="s">
        <v>12</v>
      </c>
      <c r="H12" t="s">
        <v>20</v>
      </c>
      <c r="I12" t="s">
        <v>23</v>
      </c>
      <c r="J12">
        <v>1</v>
      </c>
      <c r="K12">
        <v>500</v>
      </c>
      <c r="L12" t="str">
        <f t="shared" si="0"/>
        <v>OK</v>
      </c>
      <c r="M12" t="str">
        <f t="shared" si="1"/>
        <v>On-Time</v>
      </c>
      <c r="N12" t="str">
        <f t="shared" si="2"/>
        <v>Jan-2024</v>
      </c>
    </row>
    <row r="13" spans="1:14">
      <c r="A13">
        <v>1012</v>
      </c>
      <c r="B13" t="s">
        <v>15</v>
      </c>
      <c r="C13" s="1">
        <v>45303</v>
      </c>
      <c r="D13" s="1">
        <v>45311</v>
      </c>
      <c r="E13">
        <v>8</v>
      </c>
      <c r="F13">
        <v>5</v>
      </c>
      <c r="G13" t="s">
        <v>19</v>
      </c>
      <c r="H13" t="s">
        <v>22</v>
      </c>
      <c r="I13" t="s">
        <v>14</v>
      </c>
      <c r="J13">
        <v>9</v>
      </c>
      <c r="K13">
        <v>6300</v>
      </c>
      <c r="L13" t="str">
        <f t="shared" si="0"/>
        <v>OK</v>
      </c>
      <c r="M13" t="str">
        <f>IF(E13&gt;5,"Delayed","On-Time")</f>
        <v>Delayed</v>
      </c>
      <c r="N13" t="str">
        <f t="shared" si="2"/>
        <v>Jan-2024</v>
      </c>
    </row>
    <row r="14" spans="1:14">
      <c r="A14">
        <v>1013</v>
      </c>
      <c r="B14" t="s">
        <v>18</v>
      </c>
      <c r="C14" s="1">
        <v>45304</v>
      </c>
      <c r="D14" s="1">
        <v>45308</v>
      </c>
      <c r="E14">
        <v>4</v>
      </c>
      <c r="F14">
        <v>2</v>
      </c>
      <c r="G14" t="s">
        <v>12</v>
      </c>
      <c r="H14" t="s">
        <v>13</v>
      </c>
      <c r="I14" t="s">
        <v>17</v>
      </c>
      <c r="J14">
        <v>11</v>
      </c>
      <c r="K14">
        <v>8800</v>
      </c>
      <c r="L14" t="str">
        <f t="shared" si="0"/>
        <v>OK</v>
      </c>
      <c r="M14" t="str">
        <f t="shared" si="1"/>
        <v>On-Time</v>
      </c>
      <c r="N14" t="str">
        <f t="shared" si="2"/>
        <v>Jan-2024</v>
      </c>
    </row>
    <row r="15" spans="1:14">
      <c r="A15">
        <v>1014</v>
      </c>
      <c r="B15" t="s">
        <v>21</v>
      </c>
      <c r="C15" s="1">
        <v>45305</v>
      </c>
      <c r="D15" s="1">
        <v>45307</v>
      </c>
      <c r="E15">
        <v>2</v>
      </c>
      <c r="F15">
        <v>1</v>
      </c>
      <c r="G15" t="s">
        <v>12</v>
      </c>
      <c r="H15" t="s">
        <v>16</v>
      </c>
      <c r="I15" t="s">
        <v>23</v>
      </c>
      <c r="J15">
        <v>2</v>
      </c>
      <c r="K15">
        <v>1800</v>
      </c>
      <c r="L15" t="str">
        <f t="shared" si="0"/>
        <v>OK</v>
      </c>
      <c r="M15" t="str">
        <f t="shared" si="1"/>
        <v>On-Time</v>
      </c>
      <c r="N15" t="str">
        <f t="shared" si="2"/>
        <v>Jan-2024</v>
      </c>
    </row>
    <row r="16" spans="1:14">
      <c r="A16">
        <v>1015</v>
      </c>
      <c r="B16" t="s">
        <v>24</v>
      </c>
      <c r="C16" s="1">
        <v>45306</v>
      </c>
      <c r="D16" s="1">
        <v>45314</v>
      </c>
      <c r="E16">
        <v>8</v>
      </c>
      <c r="F16">
        <v>5</v>
      </c>
      <c r="G16" t="s">
        <v>19</v>
      </c>
      <c r="H16" t="s">
        <v>20</v>
      </c>
      <c r="I16" t="s">
        <v>17</v>
      </c>
      <c r="J16">
        <v>10</v>
      </c>
      <c r="K16">
        <v>8000</v>
      </c>
      <c r="L16" t="str">
        <f t="shared" si="0"/>
        <v>OK</v>
      </c>
      <c r="M16" t="str">
        <f t="shared" si="1"/>
        <v>Delayed</v>
      </c>
      <c r="N16" t="str">
        <f t="shared" si="2"/>
        <v>Jan-2024</v>
      </c>
    </row>
    <row r="17" spans="1:14">
      <c r="A17">
        <v>1016</v>
      </c>
      <c r="B17" t="s">
        <v>25</v>
      </c>
      <c r="C17" s="1">
        <v>45307</v>
      </c>
      <c r="D17" s="1">
        <v>45310</v>
      </c>
      <c r="E17">
        <v>3</v>
      </c>
      <c r="F17">
        <v>2</v>
      </c>
      <c r="G17" t="s">
        <v>12</v>
      </c>
      <c r="H17" t="s">
        <v>22</v>
      </c>
      <c r="I17" t="s">
        <v>14</v>
      </c>
      <c r="J17">
        <v>4</v>
      </c>
      <c r="K17">
        <v>2800</v>
      </c>
      <c r="L17" t="str">
        <f t="shared" si="0"/>
        <v>OK</v>
      </c>
      <c r="M17" t="str">
        <f t="shared" si="1"/>
        <v>On-Time</v>
      </c>
      <c r="N17" t="str">
        <f t="shared" si="2"/>
        <v>Jan-2024</v>
      </c>
    </row>
    <row r="18" spans="1:14">
      <c r="A18">
        <v>1017</v>
      </c>
      <c r="B18" t="s">
        <v>26</v>
      </c>
      <c r="C18" s="1">
        <v>45308</v>
      </c>
      <c r="D18" s="1">
        <v>45316</v>
      </c>
      <c r="E18">
        <v>8</v>
      </c>
      <c r="F18">
        <v>6</v>
      </c>
      <c r="G18" t="s">
        <v>19</v>
      </c>
      <c r="H18" t="s">
        <v>13</v>
      </c>
      <c r="I18" t="s">
        <v>23</v>
      </c>
      <c r="J18">
        <v>6</v>
      </c>
      <c r="K18">
        <v>4200</v>
      </c>
      <c r="L18" t="str">
        <f t="shared" si="0"/>
        <v>OK</v>
      </c>
      <c r="M18" t="str">
        <f t="shared" si="1"/>
        <v>Delayed</v>
      </c>
      <c r="N18" t="str">
        <f t="shared" si="2"/>
        <v>Jan-2024</v>
      </c>
    </row>
    <row r="19" spans="1:14">
      <c r="A19">
        <v>1018</v>
      </c>
      <c r="B19" t="s">
        <v>27</v>
      </c>
      <c r="C19" s="1">
        <v>45309</v>
      </c>
      <c r="D19" s="1">
        <v>45312</v>
      </c>
      <c r="E19">
        <v>3</v>
      </c>
      <c r="F19">
        <v>2</v>
      </c>
      <c r="G19" t="s">
        <v>12</v>
      </c>
      <c r="H19" t="s">
        <v>16</v>
      </c>
      <c r="I19" t="s">
        <v>17</v>
      </c>
      <c r="J19">
        <v>14</v>
      </c>
      <c r="K19">
        <v>11200</v>
      </c>
      <c r="L19" t="str">
        <f t="shared" si="0"/>
        <v>OK</v>
      </c>
      <c r="M19" t="str">
        <f t="shared" si="1"/>
        <v>On-Time</v>
      </c>
      <c r="N19" t="str">
        <f t="shared" si="2"/>
        <v>Jan-2024</v>
      </c>
    </row>
    <row r="20" spans="1:14">
      <c r="A20">
        <v>1019</v>
      </c>
      <c r="B20" t="s">
        <v>28</v>
      </c>
      <c r="C20" s="1">
        <v>45310</v>
      </c>
      <c r="D20" s="1">
        <v>45317</v>
      </c>
      <c r="E20">
        <v>7</v>
      </c>
      <c r="F20">
        <v>4</v>
      </c>
      <c r="G20" t="s">
        <v>19</v>
      </c>
      <c r="H20" t="s">
        <v>20</v>
      </c>
      <c r="I20" t="s">
        <v>14</v>
      </c>
      <c r="J20">
        <v>5</v>
      </c>
      <c r="K20">
        <v>4000</v>
      </c>
      <c r="L20" t="str">
        <f t="shared" si="0"/>
        <v>OK</v>
      </c>
      <c r="M20" t="str">
        <f t="shared" si="1"/>
        <v>Delayed</v>
      </c>
      <c r="N20" t="str">
        <f t="shared" si="2"/>
        <v>Jan-2024</v>
      </c>
    </row>
    <row r="21" spans="1:14">
      <c r="A21">
        <v>1020</v>
      </c>
      <c r="B21" t="s">
        <v>29</v>
      </c>
      <c r="C21" s="1">
        <v>45311</v>
      </c>
      <c r="D21" s="1">
        <v>45314</v>
      </c>
      <c r="E21">
        <v>3</v>
      </c>
      <c r="F21">
        <v>2</v>
      </c>
      <c r="G21" t="s">
        <v>12</v>
      </c>
      <c r="H21" t="s">
        <v>22</v>
      </c>
      <c r="I21" t="s">
        <v>23</v>
      </c>
      <c r="J21">
        <v>2</v>
      </c>
      <c r="K21">
        <v>1600</v>
      </c>
      <c r="L21" t="str">
        <f t="shared" si="0"/>
        <v>OK</v>
      </c>
      <c r="M21" t="str">
        <f t="shared" si="1"/>
        <v>On-Time</v>
      </c>
      <c r="N21" t="str">
        <f t="shared" si="2"/>
        <v>Jan-2024</v>
      </c>
    </row>
    <row r="22" spans="1:14">
      <c r="A22">
        <v>1021</v>
      </c>
      <c r="B22" t="s">
        <v>11</v>
      </c>
      <c r="C22" s="1">
        <v>45312</v>
      </c>
      <c r="D22" s="1">
        <v>45318</v>
      </c>
      <c r="E22">
        <v>6</v>
      </c>
      <c r="F22">
        <v>3</v>
      </c>
      <c r="G22" t="s">
        <v>12</v>
      </c>
      <c r="H22" t="s">
        <v>13</v>
      </c>
      <c r="I22" t="s">
        <v>14</v>
      </c>
      <c r="J22">
        <v>3</v>
      </c>
      <c r="K22">
        <v>1500</v>
      </c>
      <c r="L22" t="str">
        <f t="shared" si="0"/>
        <v>OK</v>
      </c>
      <c r="M22" t="str">
        <f t="shared" si="1"/>
        <v>Delayed</v>
      </c>
      <c r="N22" t="str">
        <f t="shared" si="2"/>
        <v>Jan-2024</v>
      </c>
    </row>
    <row r="23" spans="1:14">
      <c r="A23">
        <v>1022</v>
      </c>
      <c r="B23" t="s">
        <v>15</v>
      </c>
      <c r="C23" s="1">
        <v>45313</v>
      </c>
      <c r="D23" s="1">
        <v>45321</v>
      </c>
      <c r="E23">
        <v>8</v>
      </c>
      <c r="F23">
        <v>5</v>
      </c>
      <c r="G23" t="s">
        <v>19</v>
      </c>
      <c r="H23" t="s">
        <v>16</v>
      </c>
      <c r="I23" t="s">
        <v>17</v>
      </c>
      <c r="J23">
        <v>12</v>
      </c>
      <c r="K23">
        <v>8400</v>
      </c>
      <c r="L23" t="str">
        <f>IF(D23&lt;C23,"ERROR","OK")</f>
        <v>OK</v>
      </c>
      <c r="M23" t="str">
        <f t="shared" si="1"/>
        <v>Delayed</v>
      </c>
      <c r="N23" t="str">
        <f t="shared" si="2"/>
        <v>Jan-2024</v>
      </c>
    </row>
    <row r="24" spans="1:14">
      <c r="A24">
        <v>1023</v>
      </c>
      <c r="B24" t="s">
        <v>18</v>
      </c>
      <c r="C24" s="1">
        <v>45314</v>
      </c>
      <c r="D24" s="1">
        <v>45317</v>
      </c>
      <c r="E24">
        <v>3</v>
      </c>
      <c r="F24">
        <v>2</v>
      </c>
      <c r="G24" t="s">
        <v>12</v>
      </c>
      <c r="H24" t="s">
        <v>20</v>
      </c>
      <c r="I24" t="s">
        <v>23</v>
      </c>
      <c r="J24">
        <v>2</v>
      </c>
      <c r="K24">
        <v>1200</v>
      </c>
      <c r="L24" t="str">
        <f t="shared" si="0"/>
        <v>OK</v>
      </c>
      <c r="M24" t="str">
        <f>IF(E24&gt;5,"Delayed","On-Time")</f>
        <v>On-Time</v>
      </c>
      <c r="N24" t="str">
        <f t="shared" si="2"/>
        <v>Jan-2024</v>
      </c>
    </row>
    <row r="25" spans="1:14">
      <c r="A25">
        <v>1024</v>
      </c>
      <c r="B25" t="s">
        <v>21</v>
      </c>
      <c r="C25" s="1">
        <v>45315</v>
      </c>
      <c r="D25" s="1">
        <v>45320</v>
      </c>
      <c r="E25">
        <v>5</v>
      </c>
      <c r="F25">
        <v>3</v>
      </c>
      <c r="G25" t="s">
        <v>12</v>
      </c>
      <c r="H25" t="s">
        <v>22</v>
      </c>
      <c r="I25" t="s">
        <v>14</v>
      </c>
      <c r="J25">
        <v>5</v>
      </c>
      <c r="K25">
        <v>4500</v>
      </c>
      <c r="L25" t="str">
        <f t="shared" si="0"/>
        <v>OK</v>
      </c>
      <c r="M25" t="str">
        <f t="shared" si="1"/>
        <v>On-Time</v>
      </c>
      <c r="N25" t="str">
        <f t="shared" si="2"/>
        <v>Jan-2024</v>
      </c>
    </row>
    <row r="26" spans="1:14">
      <c r="A26">
        <v>1025</v>
      </c>
      <c r="B26" t="s">
        <v>24</v>
      </c>
      <c r="C26" s="1">
        <v>45316</v>
      </c>
      <c r="D26" s="1">
        <v>45324</v>
      </c>
      <c r="E26">
        <v>8</v>
      </c>
      <c r="F26">
        <v>5</v>
      </c>
      <c r="G26" t="s">
        <v>19</v>
      </c>
      <c r="H26" t="s">
        <v>13</v>
      </c>
      <c r="I26" t="s">
        <v>17</v>
      </c>
      <c r="J26">
        <v>9</v>
      </c>
      <c r="K26">
        <v>7200</v>
      </c>
      <c r="L26" t="str">
        <f t="shared" si="0"/>
        <v>OK</v>
      </c>
      <c r="M26" t="str">
        <f t="shared" si="1"/>
        <v>Delayed</v>
      </c>
      <c r="N26" t="str">
        <f t="shared" si="2"/>
        <v>Jan-2024</v>
      </c>
    </row>
    <row r="27" spans="1:14">
      <c r="A27">
        <v>1026</v>
      </c>
      <c r="B27" t="s">
        <v>25</v>
      </c>
      <c r="C27" s="1">
        <v>45317</v>
      </c>
      <c r="D27" s="1">
        <v>45322</v>
      </c>
      <c r="E27">
        <v>5</v>
      </c>
      <c r="F27">
        <v>3</v>
      </c>
      <c r="G27" t="s">
        <v>12</v>
      </c>
      <c r="H27" t="s">
        <v>16</v>
      </c>
      <c r="I27" t="s">
        <v>23</v>
      </c>
      <c r="J27">
        <v>4</v>
      </c>
      <c r="K27">
        <v>2800</v>
      </c>
      <c r="L27" t="str">
        <f t="shared" si="0"/>
        <v>OK</v>
      </c>
      <c r="M27" t="str">
        <f t="shared" si="1"/>
        <v>On-Time</v>
      </c>
      <c r="N27" t="str">
        <f t="shared" si="2"/>
        <v>Jan-2024</v>
      </c>
    </row>
    <row r="28" spans="1:14">
      <c r="A28">
        <v>1027</v>
      </c>
      <c r="B28" t="s">
        <v>26</v>
      </c>
      <c r="C28" s="1">
        <v>45318</v>
      </c>
      <c r="D28" s="1">
        <v>45326</v>
      </c>
      <c r="E28">
        <v>8</v>
      </c>
      <c r="F28">
        <v>5</v>
      </c>
      <c r="G28" t="s">
        <v>19</v>
      </c>
      <c r="H28" t="s">
        <v>20</v>
      </c>
      <c r="I28" t="s">
        <v>14</v>
      </c>
      <c r="J28">
        <v>7</v>
      </c>
      <c r="K28">
        <v>4900</v>
      </c>
      <c r="L28" t="str">
        <f t="shared" si="0"/>
        <v>OK</v>
      </c>
      <c r="M28" t="str">
        <f t="shared" si="1"/>
        <v>Delayed</v>
      </c>
      <c r="N28" t="str">
        <f t="shared" si="2"/>
        <v>Jan-2024</v>
      </c>
    </row>
    <row r="29" spans="1:14">
      <c r="A29">
        <v>1028</v>
      </c>
      <c r="B29" t="s">
        <v>27</v>
      </c>
      <c r="C29" s="1">
        <v>45319</v>
      </c>
      <c r="D29" s="1">
        <v>45322</v>
      </c>
      <c r="E29">
        <v>3</v>
      </c>
      <c r="F29">
        <v>2</v>
      </c>
      <c r="G29" t="s">
        <v>12</v>
      </c>
      <c r="H29" t="s">
        <v>22</v>
      </c>
      <c r="I29" t="s">
        <v>17</v>
      </c>
      <c r="J29">
        <v>15</v>
      </c>
      <c r="K29">
        <v>12000</v>
      </c>
      <c r="L29" t="str">
        <f t="shared" si="0"/>
        <v>OK</v>
      </c>
      <c r="M29" t="str">
        <f t="shared" si="1"/>
        <v>On-Time</v>
      </c>
      <c r="N29" t="str">
        <f t="shared" si="2"/>
        <v>Jan-2024</v>
      </c>
    </row>
    <row r="30" spans="1:14">
      <c r="A30">
        <v>1029</v>
      </c>
      <c r="B30" t="s">
        <v>28</v>
      </c>
      <c r="C30" s="1">
        <v>45320</v>
      </c>
      <c r="D30" s="1">
        <v>45327</v>
      </c>
      <c r="E30">
        <v>7</v>
      </c>
      <c r="F30">
        <v>4</v>
      </c>
      <c r="G30" t="s">
        <v>19</v>
      </c>
      <c r="H30" t="s">
        <v>13</v>
      </c>
      <c r="I30" t="s">
        <v>23</v>
      </c>
      <c r="J30">
        <v>6</v>
      </c>
      <c r="K30">
        <v>4800</v>
      </c>
      <c r="L30" t="str">
        <f t="shared" si="0"/>
        <v>OK</v>
      </c>
      <c r="M30" t="str">
        <f t="shared" si="1"/>
        <v>Delayed</v>
      </c>
      <c r="N30" t="str">
        <f t="shared" si="2"/>
        <v>Jan-2024</v>
      </c>
    </row>
    <row r="31" spans="1:14">
      <c r="A31">
        <v>1030</v>
      </c>
      <c r="B31" t="s">
        <v>29</v>
      </c>
      <c r="C31" s="1">
        <v>45321</v>
      </c>
      <c r="D31" s="1">
        <v>45323</v>
      </c>
      <c r="E31">
        <v>2</v>
      </c>
      <c r="F31">
        <v>1</v>
      </c>
      <c r="G31" t="s">
        <v>12</v>
      </c>
      <c r="H31" t="s">
        <v>16</v>
      </c>
      <c r="I31" t="s">
        <v>14</v>
      </c>
      <c r="J31">
        <v>2</v>
      </c>
      <c r="K31">
        <v>1400</v>
      </c>
      <c r="L31" t="str">
        <f t="shared" si="0"/>
        <v>OK</v>
      </c>
      <c r="M31" t="str">
        <f t="shared" si="1"/>
        <v>On-Time</v>
      </c>
      <c r="N31" t="str">
        <f t="shared" si="2"/>
        <v>Jan-2024</v>
      </c>
    </row>
    <row r="32" spans="1:14">
      <c r="A32">
        <v>1031</v>
      </c>
      <c r="B32" t="s">
        <v>11</v>
      </c>
      <c r="C32" s="1">
        <v>45323</v>
      </c>
      <c r="D32" s="1">
        <v>45328</v>
      </c>
      <c r="E32">
        <v>5</v>
      </c>
      <c r="F32">
        <v>3</v>
      </c>
      <c r="G32" t="s">
        <v>12</v>
      </c>
      <c r="H32" t="s">
        <v>20</v>
      </c>
      <c r="I32" t="s">
        <v>23</v>
      </c>
      <c r="J32">
        <v>3</v>
      </c>
      <c r="K32">
        <v>1500</v>
      </c>
      <c r="L32" t="str">
        <f t="shared" si="0"/>
        <v>OK</v>
      </c>
      <c r="M32" t="str">
        <f t="shared" si="1"/>
        <v>On-Time</v>
      </c>
      <c r="N32" t="str">
        <f t="shared" si="2"/>
        <v>Feb-2024</v>
      </c>
    </row>
    <row r="33" spans="1:14">
      <c r="A33">
        <v>1032</v>
      </c>
      <c r="B33" t="s">
        <v>15</v>
      </c>
      <c r="C33" s="1">
        <v>45324</v>
      </c>
      <c r="D33" s="1">
        <v>45332</v>
      </c>
      <c r="E33">
        <v>8</v>
      </c>
      <c r="F33">
        <v>5</v>
      </c>
      <c r="G33" t="s">
        <v>19</v>
      </c>
      <c r="H33" t="s">
        <v>22</v>
      </c>
      <c r="I33" t="s">
        <v>14</v>
      </c>
      <c r="J33">
        <v>10</v>
      </c>
      <c r="K33">
        <v>7000</v>
      </c>
      <c r="L33" t="str">
        <f t="shared" si="0"/>
        <v>OK</v>
      </c>
      <c r="M33" t="str">
        <f t="shared" si="1"/>
        <v>Delayed</v>
      </c>
      <c r="N33" t="str">
        <f t="shared" si="2"/>
        <v>Feb-2024</v>
      </c>
    </row>
    <row r="34" spans="1:14">
      <c r="A34">
        <v>1033</v>
      </c>
      <c r="B34" t="s">
        <v>18</v>
      </c>
      <c r="C34" s="1">
        <v>45325</v>
      </c>
      <c r="D34" s="1">
        <v>45329</v>
      </c>
      <c r="E34">
        <v>4</v>
      </c>
      <c r="F34">
        <v>2</v>
      </c>
      <c r="G34" t="s">
        <v>12</v>
      </c>
      <c r="H34" t="s">
        <v>13</v>
      </c>
      <c r="I34" t="s">
        <v>17</v>
      </c>
      <c r="J34">
        <v>12</v>
      </c>
      <c r="K34">
        <v>9600</v>
      </c>
      <c r="L34" t="str">
        <f>IF(D34&lt;C34,"ERROR","OK")</f>
        <v>OK</v>
      </c>
      <c r="M34" t="str">
        <f t="shared" si="1"/>
        <v>On-Time</v>
      </c>
      <c r="N34" t="str">
        <f t="shared" si="2"/>
        <v>Feb-2024</v>
      </c>
    </row>
    <row r="35" spans="1:14">
      <c r="A35">
        <v>1034</v>
      </c>
      <c r="B35" t="s">
        <v>21</v>
      </c>
      <c r="C35" s="1">
        <v>45326</v>
      </c>
      <c r="D35" s="1">
        <v>45328</v>
      </c>
      <c r="E35">
        <v>2</v>
      </c>
      <c r="F35">
        <v>1</v>
      </c>
      <c r="G35" t="s">
        <v>12</v>
      </c>
      <c r="H35" t="s">
        <v>16</v>
      </c>
      <c r="I35" t="s">
        <v>23</v>
      </c>
      <c r="J35">
        <v>1</v>
      </c>
      <c r="K35">
        <v>900</v>
      </c>
      <c r="L35" t="str">
        <f t="shared" si="0"/>
        <v>OK</v>
      </c>
      <c r="M35" t="str">
        <f>IF(E35&gt;5,"Delayed","On-Time")</f>
        <v>On-Time</v>
      </c>
      <c r="N35" t="str">
        <f t="shared" si="2"/>
        <v>Feb-2024</v>
      </c>
    </row>
    <row r="36" spans="1:14">
      <c r="A36">
        <v>1035</v>
      </c>
      <c r="B36" t="s">
        <v>24</v>
      </c>
      <c r="C36" s="1">
        <v>45327</v>
      </c>
      <c r="D36" s="1">
        <v>45335</v>
      </c>
      <c r="E36">
        <v>8</v>
      </c>
      <c r="F36">
        <v>5</v>
      </c>
      <c r="G36" t="s">
        <v>19</v>
      </c>
      <c r="H36" t="s">
        <v>20</v>
      </c>
      <c r="I36" t="s">
        <v>17</v>
      </c>
      <c r="J36">
        <v>11</v>
      </c>
      <c r="K36">
        <v>8800</v>
      </c>
      <c r="L36" t="str">
        <f t="shared" si="0"/>
        <v>OK</v>
      </c>
      <c r="M36" t="str">
        <f t="shared" si="1"/>
        <v>Delayed</v>
      </c>
      <c r="N36" t="str">
        <f t="shared" si="2"/>
        <v>Feb-2024</v>
      </c>
    </row>
    <row r="37" spans="1:14">
      <c r="A37">
        <v>1036</v>
      </c>
      <c r="B37" t="s">
        <v>25</v>
      </c>
      <c r="C37" s="1">
        <v>45328</v>
      </c>
      <c r="D37" s="1">
        <v>45331</v>
      </c>
      <c r="E37">
        <v>3</v>
      </c>
      <c r="F37">
        <v>2</v>
      </c>
      <c r="G37" t="s">
        <v>12</v>
      </c>
      <c r="H37" t="s">
        <v>22</v>
      </c>
      <c r="I37" t="s">
        <v>14</v>
      </c>
      <c r="J37">
        <v>4</v>
      </c>
      <c r="K37">
        <v>2800</v>
      </c>
      <c r="L37" t="str">
        <f t="shared" si="0"/>
        <v>OK</v>
      </c>
      <c r="M37" t="str">
        <f t="shared" si="1"/>
        <v>On-Time</v>
      </c>
      <c r="N37" t="str">
        <f t="shared" si="2"/>
        <v>Feb-2024</v>
      </c>
    </row>
    <row r="38" spans="1:14">
      <c r="A38">
        <v>1037</v>
      </c>
      <c r="B38" t="s">
        <v>26</v>
      </c>
      <c r="C38" s="1">
        <v>45329</v>
      </c>
      <c r="D38" s="1">
        <v>45337</v>
      </c>
      <c r="E38">
        <v>8</v>
      </c>
      <c r="F38">
        <v>6</v>
      </c>
      <c r="G38" t="s">
        <v>19</v>
      </c>
      <c r="H38" t="s">
        <v>13</v>
      </c>
      <c r="I38" t="s">
        <v>23</v>
      </c>
      <c r="J38">
        <v>6</v>
      </c>
      <c r="K38">
        <v>4200</v>
      </c>
      <c r="L38" t="str">
        <f t="shared" si="0"/>
        <v>OK</v>
      </c>
      <c r="M38" t="str">
        <f t="shared" si="1"/>
        <v>Delayed</v>
      </c>
      <c r="N38" t="str">
        <f t="shared" si="2"/>
        <v>Feb-2024</v>
      </c>
    </row>
    <row r="39" spans="1:14">
      <c r="A39">
        <v>1038</v>
      </c>
      <c r="B39" t="s">
        <v>27</v>
      </c>
      <c r="C39" s="1">
        <v>45330</v>
      </c>
      <c r="D39" s="1">
        <v>45333</v>
      </c>
      <c r="E39">
        <v>3</v>
      </c>
      <c r="F39">
        <v>2</v>
      </c>
      <c r="G39" t="s">
        <v>12</v>
      </c>
      <c r="H39" t="s">
        <v>16</v>
      </c>
      <c r="I39" t="s">
        <v>17</v>
      </c>
      <c r="J39">
        <v>16</v>
      </c>
      <c r="K39">
        <v>12800</v>
      </c>
      <c r="L39" t="str">
        <f t="shared" si="0"/>
        <v>OK</v>
      </c>
      <c r="M39" t="str">
        <f t="shared" si="1"/>
        <v>On-Time</v>
      </c>
      <c r="N39" t="str">
        <f t="shared" si="2"/>
        <v>Feb-2024</v>
      </c>
    </row>
    <row r="40" spans="1:14">
      <c r="A40">
        <v>1039</v>
      </c>
      <c r="B40" t="s">
        <v>28</v>
      </c>
      <c r="C40" s="1">
        <v>45331</v>
      </c>
      <c r="D40" s="1">
        <v>45338</v>
      </c>
      <c r="E40">
        <v>7</v>
      </c>
      <c r="F40">
        <v>4</v>
      </c>
      <c r="G40" t="s">
        <v>19</v>
      </c>
      <c r="H40" t="s">
        <v>20</v>
      </c>
      <c r="I40" t="s">
        <v>14</v>
      </c>
      <c r="J40">
        <v>5</v>
      </c>
      <c r="K40">
        <v>4000</v>
      </c>
      <c r="L40" t="str">
        <f t="shared" si="0"/>
        <v>OK</v>
      </c>
      <c r="M40" t="str">
        <f t="shared" si="1"/>
        <v>Delayed</v>
      </c>
      <c r="N40" t="str">
        <f t="shared" si="2"/>
        <v>Feb-2024</v>
      </c>
    </row>
    <row r="41" spans="1:14">
      <c r="A41">
        <v>1040</v>
      </c>
      <c r="B41" t="s">
        <v>29</v>
      </c>
      <c r="C41" s="1">
        <v>45332</v>
      </c>
      <c r="D41" s="1">
        <v>45335</v>
      </c>
      <c r="E41">
        <v>3</v>
      </c>
      <c r="F41">
        <v>2</v>
      </c>
      <c r="G41" t="s">
        <v>12</v>
      </c>
      <c r="H41" t="s">
        <v>22</v>
      </c>
      <c r="I41" t="s">
        <v>23</v>
      </c>
      <c r="J41">
        <v>3</v>
      </c>
      <c r="K41">
        <v>2400</v>
      </c>
      <c r="L41" t="str">
        <f t="shared" si="0"/>
        <v>OK</v>
      </c>
      <c r="M41" t="str">
        <f t="shared" si="1"/>
        <v>On-Time</v>
      </c>
      <c r="N41" t="str">
        <f t="shared" si="2"/>
        <v>Feb-2024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Pivot_Order_Status</vt:lpstr>
      <vt:lpstr>Pivot_Revenue_Region</vt:lpstr>
      <vt:lpstr>Pivot_Delay_Region</vt:lpstr>
      <vt:lpstr>Pivot_Monthly_Revenue</vt:lpstr>
      <vt:lpstr>Pivot_Revenue_CustomerType</vt:lpstr>
      <vt:lpstr>Pivot_Top_SKUs</vt:lpstr>
      <vt:lpstr>Orders_Data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 dhanwani</dc:creator>
  <cp:lastModifiedBy>mahak dhanwani</cp:lastModifiedBy>
  <dcterms:created xsi:type="dcterms:W3CDTF">2026-01-17T14:29:13Z</dcterms:created>
  <dcterms:modified xsi:type="dcterms:W3CDTF">2026-01-17T16:59:15Z</dcterms:modified>
</cp:coreProperties>
</file>